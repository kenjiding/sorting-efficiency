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560" activeTab="1"/>
  </bookViews>
  <sheets>
    <sheet name="Sheet1" sheetId="7" r:id="rId1"/>
    <sheet name="ADL-出勤记录-20251103-202511009" sheetId="1" r:id="rId2"/>
    <sheet name="人效" sheetId="6" r:id="rId3"/>
    <sheet name="计费规则" sheetId="4" r:id="rId4"/>
  </sheets>
  <definedNames>
    <definedName name="_xlnm._FilterDatabase" localSheetId="1" hidden="1">'ADL-出勤记录-20251103-202511009'!$A$1:$D$67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<sst xmlns="http://schemas.openxmlformats.org/spreadsheetml/2006/main" count="457" uniqueCount="89">
  <si>
    <t>昵称</t>
  </si>
  <si>
    <t>姓氏</t>
  </si>
  <si>
    <t>姓名</t>
  </si>
  <si>
    <t>日期</t>
  </si>
  <si>
    <t>求和项:当日总时长-十进制</t>
  </si>
  <si>
    <t>Carman</t>
  </si>
  <si>
    <t>Gao</t>
  </si>
  <si>
    <t>JiaTong</t>
  </si>
  <si>
    <t>12/11/2025</t>
  </si>
  <si>
    <t>15/11/2025</t>
  </si>
  <si>
    <t>Ethan</t>
  </si>
  <si>
    <t>Nien</t>
  </si>
  <si>
    <t>YiChi</t>
  </si>
  <si>
    <t>Evan</t>
  </si>
  <si>
    <t>Dong</t>
  </si>
  <si>
    <t>Jian</t>
  </si>
  <si>
    <t>Kimi</t>
  </si>
  <si>
    <t>Yin</t>
  </si>
  <si>
    <t>LiNan</t>
  </si>
  <si>
    <t>10/11/2025</t>
  </si>
  <si>
    <t>11/11/2025</t>
  </si>
  <si>
    <t>Lily</t>
  </si>
  <si>
    <t>Geng</t>
  </si>
  <si>
    <t>Li</t>
  </si>
  <si>
    <t>13/11/2025</t>
  </si>
  <si>
    <t>miko</t>
  </si>
  <si>
    <t>Hei</t>
  </si>
  <si>
    <t>Ting</t>
  </si>
  <si>
    <t>Nanny</t>
  </si>
  <si>
    <t>chavda</t>
  </si>
  <si>
    <t>Nandiniba</t>
  </si>
  <si>
    <t>pan</t>
  </si>
  <si>
    <t>jingyao</t>
  </si>
  <si>
    <t>ravi-3</t>
  </si>
  <si>
    <t>ravi-4</t>
  </si>
  <si>
    <t>ravi-5</t>
  </si>
  <si>
    <t>ravi-6</t>
  </si>
  <si>
    <t>ravi-7</t>
  </si>
  <si>
    <t>Shruti</t>
  </si>
  <si>
    <t>Bhandari</t>
  </si>
  <si>
    <t>Tong</t>
  </si>
  <si>
    <t>Wan Kwan</t>
  </si>
  <si>
    <t>Vaishnavi</t>
  </si>
  <si>
    <t>Rajput</t>
  </si>
  <si>
    <t>Wayne</t>
  </si>
  <si>
    <t>Fangzhou</t>
  </si>
  <si>
    <t>yan</t>
  </si>
  <si>
    <t>xiaoyan</t>
  </si>
  <si>
    <t>(空白)</t>
  </si>
  <si>
    <t>ravi-1</t>
  </si>
  <si>
    <t>总计</t>
  </si>
  <si>
    <t>人员编号</t>
  </si>
  <si>
    <t>部门</t>
  </si>
  <si>
    <t>工作日</t>
  </si>
  <si>
    <t>首次打卡</t>
  </si>
  <si>
    <t>最后打卡</t>
  </si>
  <si>
    <t>总时长</t>
  </si>
  <si>
    <t>中途请假时间-十进制</t>
  </si>
  <si>
    <t>总时长-十进制</t>
  </si>
  <si>
    <t>总时长(修订后)-十进制</t>
  </si>
  <si>
    <t>当日总时长-十进制</t>
  </si>
  <si>
    <t>价格每小时</t>
  </si>
  <si>
    <t>价格(AUD)</t>
  </si>
  <si>
    <t>AUS ADL</t>
  </si>
  <si>
    <t>周一</t>
  </si>
  <si>
    <t>周二</t>
  </si>
  <si>
    <t>周三</t>
  </si>
  <si>
    <t>周四</t>
  </si>
  <si>
    <t>周六</t>
  </si>
  <si>
    <t>到件扫描数量</t>
  </si>
  <si>
    <t>仓库预计单量</t>
  </si>
  <si>
    <t>预测工具预测量</t>
  </si>
  <si>
    <t xml:space="preserve">周二 </t>
  </si>
  <si>
    <t>周五</t>
  </si>
  <si>
    <t>周日</t>
  </si>
  <si>
    <t>工作日；周末只开仓提货情况下</t>
  </si>
  <si>
    <t>周末进行分拣情况下</t>
  </si>
  <si>
    <t>节假日</t>
  </si>
  <si>
    <t>第一档</t>
  </si>
  <si>
    <t>第二档</t>
  </si>
  <si>
    <t>第三档</t>
  </si>
  <si>
    <t>每小时价格</t>
  </si>
  <si>
    <t>提单款项编号</t>
  </si>
  <si>
    <t>S012701</t>
  </si>
  <si>
    <t>S012702</t>
  </si>
  <si>
    <t>S012703</t>
  </si>
  <si>
    <t>S012746</t>
  </si>
  <si>
    <t>S012749</t>
  </si>
  <si>
    <t>S012752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</si>
</sst>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0_ "/>
    <numFmt numFmtId="178" formatCode="0.00_ 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8" applyNumberFormat="0" applyAlignment="0" applyProtection="0"/>
    <xf numFmtId="0" fontId="11" fillId="5" borderId="9" applyNumberFormat="0" applyAlignment="0" applyProtection="0"/>
    <xf numFmtId="0" fontId="12" fillId="5" borderId="8" applyNumberFormat="0" applyAlignment="0" applyProtection="0"/>
    <xf numFmtId="0" fontId="13" fillId="6" borderId="10" applyNumberFormat="0" applyAlignment="0" applyProtection="0"/>
    <xf numFmtId="0" fontId="14" fillId="0" borderId="11" applyNumberFormat="0" applyFill="0" applyAlignment="0" applyProtection="0"/>
    <xf numFmtId="0" fontId="1" fillId="0" borderId="12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36">
    <xf numFmtId="0" fontId="0" fillId="0" borderId="0" xfId="0"/>
    <xf numFmtId="176" fontId="0" fillId="0" borderId="0" xfId="1" applyFont="1" applyAlignment="1">
      <alignment vertical="center"/>
    </xf>
    <xf numFmtId="176" fontId="1" fillId="0" borderId="1" xfId="1" applyFont="1" applyBorder="1" applyAlignment="1">
      <alignment horizontal="center" vertical="center"/>
    </xf>
    <xf numFmtId="176" fontId="1" fillId="0" borderId="2" xfId="1" applyFont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/>
    <xf numFmtId="0" fontId="0" fillId="0" borderId="2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176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77" fontId="0" fillId="0" borderId="0" xfId="0" applyNumberFormat="1" applyFont="1" applyBorder="1" applyAlignment="1">
      <alignment horizontal="center"/>
    </xf>
    <xf numFmtId="178" fontId="0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0" fillId="0" borderId="0" xfId="0" applyNumberForma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0" fontId="0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77" fontId="1" fillId="0" borderId="0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horizontal="center"/>
    </xf>
    <xf numFmtId="176" fontId="0" fillId="0" borderId="0" xfId="0" applyNumberFormat="1" applyFont="1" applyBorder="1" applyAlignment="1">
      <alignment horizontal="center"/>
    </xf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178" formatCode="0.00_ "/>
    </dxf>
    <dxf>
      <numFmt numFmtId="178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8.3229976852" refreshedBy="likili" recordCount="50">
  <cacheSource type="worksheet">
    <worksheetSource ref="A1:P1048576" sheet="ADL-出勤记录-20251103-202511009"/>
  </cacheSource>
  <cacheFields count="16">
    <cacheField name="人员编号" numFmtId="0">
      <sharedItems containsString="0" containsBlank="1" containsNumber="1" containsInteger="1" minValue="15113735" maxValue="2105315602" count="14">
        <n v="15113735"/>
        <n v="15217673"/>
        <n v="2025082101"/>
        <n v="2025082201"/>
        <n v="2025082701"/>
        <n v="2025100902"/>
        <n v="2025100903"/>
        <n v="2105105606"/>
        <n v="2105161402"/>
        <n v="2105315602"/>
        <m/>
        <n v="15200903"/>
        <n v="20250731"/>
        <n v="15197673"/>
      </sharedItems>
    </cacheField>
    <cacheField name="姓名" numFmtId="0">
      <sharedItems containsBlank="1" count="20">
        <s v="LiNan"/>
        <s v="Wan Kwan"/>
        <s v="Li"/>
        <s v="xiaoyan"/>
        <s v="Ting"/>
        <s v="Shruti"/>
        <s v="jingyao"/>
        <s v="Nandiniba"/>
        <s v="Fangzhou"/>
        <s v="Vaishnavi"/>
        <s v="ravi-1"/>
        <s v="ravi-3"/>
        <s v="ravi-4"/>
        <s v="YiChi"/>
        <s v="JiaTong"/>
        <s v="ravi-5"/>
        <s v="Jian"/>
        <s v="ravi-6"/>
        <s v="ravi-7"/>
        <m/>
      </sharedItems>
    </cacheField>
    <cacheField name="姓氏" numFmtId="0">
      <sharedItems containsBlank="1" count="21">
        <s v="Yin"/>
        <s v="Tong"/>
        <s v="Geng"/>
        <s v="yan"/>
        <s v="Hei"/>
        <s v="Bhandari"/>
        <s v="pan"/>
        <s v="chavda"/>
        <s v="Li"/>
        <s v="Rajput"/>
        <s v="ravi-1"/>
        <s v="ravi-3"/>
        <s v="ravi-4"/>
        <s v="Nien"/>
        <s v="Gao"/>
        <s v="ravi-5"/>
        <s v="Dong"/>
        <s v="ravi-6"/>
        <s v="ravi-7"/>
        <m/>
        <s v="ravi-2" u="1"/>
      </sharedItems>
    </cacheField>
    <cacheField name="昵称" numFmtId="0">
      <sharedItems containsBlank="1" count="20">
        <s v="Kimi"/>
        <s v="Tong"/>
        <s v="Lily"/>
        <s v="yan"/>
        <s v="miko"/>
        <s v="Shruti"/>
        <s v="pan"/>
        <s v="Nanny"/>
        <s v="Wayne"/>
        <s v="Vaishnavi"/>
        <s v="ravi-1"/>
        <s v="ravi-3"/>
        <s v="ravi-4"/>
        <s v="Ethan"/>
        <s v="Carman"/>
        <s v="ravi-5"/>
        <s v="Evan"/>
        <s v="ravi-6"/>
        <s v="ravi-7"/>
        <m/>
      </sharedItems>
    </cacheField>
    <cacheField name="部门" numFmtId="0">
      <sharedItems containsBlank="1" count="2">
        <s v="AUS ADL"/>
        <m/>
      </sharedItems>
    </cacheField>
    <cacheField name="日期" numFmtId="0">
      <sharedItems containsBlank="1" count="6">
        <s v="10/11/2025"/>
        <s v="11/11/2025"/>
        <s v="12/11/2025"/>
        <s v="13/11/2025"/>
        <s v="15/11/2025"/>
        <m/>
      </sharedItems>
    </cacheField>
    <cacheField name="工作日" numFmtId="0">
      <sharedItems containsBlank="1" count="6">
        <s v="周一"/>
        <s v="周二"/>
        <s v="周三"/>
        <s v="周四"/>
        <s v="周六"/>
        <m/>
      </sharedItems>
    </cacheField>
    <cacheField name="首次打卡" numFmtId="0">
      <sharedItems containsString="0" containsBlank="1" containsNonDate="0" containsDate="1" minDate="1899-12-30T07:00:00" maxDate="1899-12-30T15:22:00" count="32">
        <d v="1899-12-30T09:55:00"/>
        <d v="1899-12-30T11:09:00"/>
        <d v="1899-12-30T10:50:00"/>
        <d v="1899-12-30T10:51:00"/>
        <d v="1899-12-30T07:05:00"/>
        <d v="1899-12-30T10:58:00"/>
        <d v="1899-12-30T10:42:00"/>
        <d v="1899-12-30T10:49:00"/>
        <d v="1899-12-30T11:12:00"/>
        <d v="1899-12-30T11:00:00"/>
        <d v="1899-12-30T12:00:00"/>
        <d v="1899-12-30T11:59:00"/>
        <d v="1899-12-30T07:00:00"/>
        <d v="1899-12-30T11:30:00"/>
        <d v="1899-12-30T11:28:00"/>
        <d v="1899-12-30T09:54:00"/>
        <d v="1899-12-30T11:32:00"/>
        <d v="1899-12-30T11:52:00"/>
        <d v="1899-12-30T15:22:00"/>
        <d v="1899-12-30T11:25:00"/>
        <d v="1899-12-30T11:29:00"/>
        <d v="1899-12-30T11:27:00"/>
        <d v="1899-12-30T11:26:00"/>
        <d v="1899-12-30T07:02:00"/>
        <d v="1899-12-30T07:01:00"/>
        <d v="1899-12-30T10:23:00"/>
        <d v="1899-12-30T12:08:00"/>
        <d v="1899-12-30T12:06:00"/>
        <d v="1899-12-30T12:19:00"/>
        <d v="1899-12-30T11:35:00"/>
        <d v="1899-12-30T12:03:00"/>
        <m/>
      </sharedItems>
    </cacheField>
    <cacheField name="最后打卡" numFmtId="0">
      <sharedItems containsString="0" containsBlank="1" containsNonDate="0" containsDate="1" minDate="1899-12-30T04:15:00" maxDate="1899-12-30T20:09:00" count="37">
        <d v="1899-12-30T17:36:00"/>
        <d v="1899-12-30T16:46:00"/>
        <d v="1899-12-30T16:44:00"/>
        <d v="1899-12-30T19:32:00"/>
        <d v="1899-12-30T16:56:00"/>
        <d v="1899-12-30T04:15:00"/>
        <d v="1899-12-30T18:45:00"/>
        <d v="1899-12-30T17:30:00"/>
        <d v="1899-12-30T17:25:00"/>
        <d v="1899-12-30T20:09:00"/>
        <d v="1899-12-30T16:45:00"/>
        <d v="1899-12-30T20:05:00"/>
        <d v="1899-12-30T17:28:00"/>
        <d v="1899-12-30T17:17:00"/>
        <d v="1899-12-30T19:45:00"/>
        <d v="1899-12-30T18:00:00"/>
        <d v="1899-12-30T15:51:00"/>
        <d v="1899-12-30T19:40:00"/>
        <d v="1899-12-30T20:01:00"/>
        <d v="1899-12-30T16:36:00"/>
        <d v="1899-12-30T16:12:00"/>
        <d v="1899-12-30T19:43:00"/>
        <d v="1899-12-30T17:34:00"/>
        <d v="1899-12-30T12:19:00"/>
        <d v="1899-12-30T12:20:00"/>
        <d v="1899-12-30T20:02:00"/>
        <d v="1899-12-30T19:11:00"/>
        <d v="1899-12-30T19:02:00"/>
        <d v="1899-12-30T17:21:00"/>
        <d v="1899-12-30T19:17:00"/>
        <d v="1899-12-30T20:00:00"/>
        <d v="1899-12-30T19:15:00"/>
        <d v="1899-12-30T15:10:00"/>
        <d v="1899-12-30T16:05:00"/>
        <d v="1899-12-30T17:20:00"/>
        <d v="1899-12-30T18:25:00"/>
        <m/>
      </sharedItems>
    </cacheField>
    <cacheField name="总时长" numFmtId="0">
      <sharedItems containsString="0" containsBlank="1" containsNonDate="0" containsDate="1" minDate="1899-12-30T00:29:00" maxDate="1899-12-30T13:09:00" count="44">
        <d v="1899-12-30T07:41:00"/>
        <d v="1899-12-30T05:37:00"/>
        <d v="1899-12-30T05:53:00"/>
        <d v="1899-12-30T12:26:00"/>
        <d v="1899-12-30T05:58:00"/>
        <d v="1899-12-30T06:04:00"/>
        <d v="1899-12-30T06:14:00"/>
        <d v="1899-12-30T05:56:00"/>
        <d v="1899-12-30T05:44:00"/>
        <d v="1899-12-30T05:15:00"/>
        <d v="1899-12-30T08:49:00"/>
        <d v="1899-12-30T05:29:00"/>
        <d v="1899-12-30T05:26:00"/>
        <d v="1899-12-30T05:25:00"/>
        <d v="1899-12-30T13:09:00"/>
        <d v="1899-12-30T04:44:00"/>
        <d v="1899-12-30T08:35:00"/>
        <d v="1899-12-30T05:59:00"/>
        <d v="1899-12-30T05:17:00"/>
        <d v="1899-12-30T10:10:00"/>
        <d v="1899-12-30T08:12:00"/>
        <d v="1899-12-30T06:08:00"/>
        <d v="1899-12-30T00:29:00"/>
        <d v="1899-12-30T08:14:00"/>
        <d v="1899-12-30T13:01:00"/>
        <d v="1899-12-30T05:06:00"/>
        <d v="1899-12-30T04:42:00"/>
        <d v="1899-12-30T08:16:00"/>
        <d v="1899-12-30T06:06:00"/>
        <d v="1899-12-30T06:30:00"/>
        <d v="1899-12-30T08:10:00"/>
        <d v="1899-12-30T05:19:00"/>
        <d v="1899-12-30T09:38:00"/>
        <d v="1899-12-30T07:03:00"/>
        <d v="1899-12-30T06:53:00"/>
        <d v="1899-12-30T05:20:00"/>
        <d v="1899-12-30T07:24:00"/>
        <d v="1899-12-30T07:59:00"/>
        <d v="1899-12-30T07:08:00"/>
        <d v="1899-12-30T02:50:00"/>
        <d v="1899-12-30T07:36:00"/>
        <d v="1899-12-30T04:01:00"/>
        <d v="1899-12-30T06:25:00"/>
        <m/>
      </sharedItems>
    </cacheField>
    <cacheField name="中途请假时间-十进制" numFmtId="0">
      <sharedItems containsString="0" containsBlank="1" containsNonDate="0" count="1">
        <m/>
      </sharedItems>
    </cacheField>
    <cacheField name="总时长-十进制" numFmtId="0">
      <sharedItems containsString="0" containsBlank="1" containsNumber="1" minValue="0.483333333333333" maxValue="13.15" count="44">
        <n v="7.68333333333333"/>
        <n v="5.61666666666667"/>
        <n v="5.88333333333333"/>
        <n v="12.4333333333333"/>
        <n v="5.96666666666667"/>
        <n v="6.06666666666667"/>
        <n v="6.23333333333333"/>
        <n v="5.93333333333333"/>
        <n v="5.73333333333333"/>
        <n v="5.25"/>
        <n v="8.81666666666667"/>
        <n v="5.48333333333333"/>
        <n v="5.43333333333333"/>
        <n v="5.41666666666667"/>
        <n v="13.15"/>
        <n v="4.73333333333333"/>
        <n v="8.58333333333333"/>
        <n v="5.98333333333333"/>
        <n v="5.28333333333333"/>
        <n v="10.1666666666667"/>
        <n v="8.2"/>
        <n v="6.13333333333333"/>
        <n v="0.483333333333333"/>
        <n v="8.23333333333333"/>
        <n v="13.0166666666667"/>
        <n v="5.1"/>
        <n v="4.7"/>
        <n v="8.26666666666667"/>
        <n v="6.1"/>
        <n v="6.5"/>
        <n v="8.16666666666667"/>
        <n v="5.31666666666667"/>
        <n v="9.63333333333333"/>
        <n v="7.05"/>
        <n v="6.88333333333333"/>
        <n v="5.33333333333333"/>
        <n v="7.4"/>
        <n v="7.98333333333333"/>
        <n v="7.13333333333333"/>
        <n v="2.83333333333333"/>
        <n v="7.6"/>
        <n v="4.01666666666667"/>
        <n v="6.41666666666667"/>
        <m/>
      </sharedItems>
    </cacheField>
    <cacheField name="总时长(修订后)-十进制" numFmtId="0">
      <sharedItems containsString="0" containsBlank="1" containsNumber="1" minValue="0.483333333333333" maxValue="13.15" count="44">
        <n v="7.68333333333333"/>
        <n v="5.61666666666667"/>
        <n v="5.88333333333333"/>
        <n v="12.4333333333333"/>
        <n v="5.96666666666667"/>
        <n v="6.06666666666667"/>
        <n v="6.23333333333333"/>
        <n v="5.93333333333333"/>
        <n v="5.73333333333333"/>
        <n v="5.25"/>
        <n v="8.81666666666667"/>
        <n v="5.48333333333333"/>
        <n v="5.43333333333333"/>
        <n v="5.41666666666667"/>
        <n v="13.15"/>
        <n v="4.73333333333333"/>
        <n v="8.58333333333333"/>
        <n v="5.98333333333333"/>
        <n v="5.28333333333333"/>
        <n v="10.1666666666667"/>
        <n v="8.2"/>
        <n v="6.13333333333333"/>
        <n v="0.483333333333333"/>
        <n v="8.23333333333333"/>
        <n v="13.0166666666667"/>
        <n v="5.1"/>
        <n v="4.7"/>
        <n v="8.26666666666667"/>
        <n v="6.1"/>
        <n v="6.5"/>
        <n v="8.16666666666667"/>
        <n v="5.31666666666667"/>
        <n v="9.63333333333333"/>
        <n v="7.05"/>
        <n v="6.88333333333333"/>
        <n v="5.33333333333333"/>
        <n v="7.4"/>
        <n v="7.98333333333333"/>
        <n v="7.13333333333333"/>
        <n v="2.83333333333333"/>
        <n v="7.6"/>
        <n v="4.01666666666667"/>
        <n v="6.41666666666667"/>
        <m/>
      </sharedItems>
    </cacheField>
    <cacheField name="当日总时长-十进制" numFmtId="178">
      <sharedItems containsString="0" containsBlank="1" containsNumber="1" minValue="0.483333333333333" maxValue="13.15" count="44">
        <n v="7.68333333333333"/>
        <n v="5.61666666666667"/>
        <n v="5.88333333333333"/>
        <n v="12.4333333333333"/>
        <n v="5.96666666666667"/>
        <n v="6.06666666666667"/>
        <n v="6.23333333333333"/>
        <n v="5.93333333333333"/>
        <n v="5.73333333333333"/>
        <n v="5.25"/>
        <n v="8.81666666666667"/>
        <n v="5.48333333333333"/>
        <n v="5.43333333333333"/>
        <n v="5.41666666666667"/>
        <n v="13.15"/>
        <n v="4.73333333333333"/>
        <n v="8.58333333333333"/>
        <n v="5.98333333333333"/>
        <n v="5.28333333333333"/>
        <n v="10.1666666666667"/>
        <n v="8.2"/>
        <n v="6.13333333333333"/>
        <n v="0.483333333333333"/>
        <n v="8.23333333333333"/>
        <n v="13.0166666666667"/>
        <n v="5.1"/>
        <n v="4.7"/>
        <n v="8.26666666666667"/>
        <n v="6.1"/>
        <n v="6.5"/>
        <n v="8.16666666666667"/>
        <n v="5.31666666666667"/>
        <n v="9.63333333333333"/>
        <n v="7.05"/>
        <n v="6.88333333333333"/>
        <n v="5.33333333333333"/>
        <n v="7.4"/>
        <n v="7.98333333333333"/>
        <n v="7.13333333333333"/>
        <n v="2.83333333333333"/>
        <n v="7.6"/>
        <n v="4.01666666666667"/>
        <n v="6.41666666666667"/>
        <m/>
      </sharedItems>
    </cacheField>
    <cacheField name="价格每小时" numFmtId="0">
      <sharedItems containsString="0" containsBlank="1" containsNonDate="0" count="1">
        <m/>
      </sharedItems>
    </cacheField>
    <cacheField name="价格(AUD)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1"/>
    <x v="0"/>
    <x v="1"/>
    <x v="1"/>
    <x v="1"/>
    <x v="0"/>
    <x v="0"/>
  </r>
  <r>
    <x v="2"/>
    <x v="2"/>
    <x v="2"/>
    <x v="2"/>
    <x v="0"/>
    <x v="0"/>
    <x v="0"/>
    <x v="2"/>
    <x v="2"/>
    <x v="2"/>
    <x v="0"/>
    <x v="2"/>
    <x v="2"/>
    <x v="2"/>
    <x v="0"/>
    <x v="0"/>
  </r>
  <r>
    <x v="3"/>
    <x v="3"/>
    <x v="3"/>
    <x v="3"/>
    <x v="0"/>
    <x v="0"/>
    <x v="0"/>
    <x v="3"/>
    <x v="2"/>
    <x v="2"/>
    <x v="0"/>
    <x v="2"/>
    <x v="2"/>
    <x v="2"/>
    <x v="0"/>
    <x v="0"/>
  </r>
  <r>
    <x v="4"/>
    <x v="4"/>
    <x v="4"/>
    <x v="4"/>
    <x v="0"/>
    <x v="0"/>
    <x v="0"/>
    <x v="4"/>
    <x v="3"/>
    <x v="3"/>
    <x v="0"/>
    <x v="3"/>
    <x v="3"/>
    <x v="3"/>
    <x v="0"/>
    <x v="0"/>
  </r>
  <r>
    <x v="5"/>
    <x v="5"/>
    <x v="5"/>
    <x v="5"/>
    <x v="0"/>
    <x v="0"/>
    <x v="0"/>
    <x v="5"/>
    <x v="4"/>
    <x v="4"/>
    <x v="0"/>
    <x v="4"/>
    <x v="4"/>
    <x v="4"/>
    <x v="0"/>
    <x v="0"/>
  </r>
  <r>
    <x v="6"/>
    <x v="6"/>
    <x v="6"/>
    <x v="6"/>
    <x v="0"/>
    <x v="0"/>
    <x v="0"/>
    <x v="6"/>
    <x v="1"/>
    <x v="5"/>
    <x v="0"/>
    <x v="5"/>
    <x v="5"/>
    <x v="5"/>
    <x v="0"/>
    <x v="0"/>
  </r>
  <r>
    <x v="7"/>
    <x v="7"/>
    <x v="7"/>
    <x v="7"/>
    <x v="0"/>
    <x v="0"/>
    <x v="0"/>
    <x v="6"/>
    <x v="4"/>
    <x v="6"/>
    <x v="0"/>
    <x v="6"/>
    <x v="6"/>
    <x v="6"/>
    <x v="0"/>
    <x v="0"/>
  </r>
  <r>
    <x v="8"/>
    <x v="8"/>
    <x v="8"/>
    <x v="8"/>
    <x v="0"/>
    <x v="0"/>
    <x v="0"/>
    <x v="7"/>
    <x v="1"/>
    <x v="7"/>
    <x v="0"/>
    <x v="7"/>
    <x v="7"/>
    <x v="7"/>
    <x v="0"/>
    <x v="0"/>
  </r>
  <r>
    <x v="9"/>
    <x v="9"/>
    <x v="9"/>
    <x v="9"/>
    <x v="0"/>
    <x v="0"/>
    <x v="0"/>
    <x v="8"/>
    <x v="4"/>
    <x v="8"/>
    <x v="0"/>
    <x v="8"/>
    <x v="8"/>
    <x v="8"/>
    <x v="0"/>
    <x v="0"/>
  </r>
  <r>
    <x v="10"/>
    <x v="10"/>
    <x v="10"/>
    <x v="10"/>
    <x v="0"/>
    <x v="0"/>
    <x v="0"/>
    <x v="9"/>
    <x v="5"/>
    <x v="9"/>
    <x v="0"/>
    <x v="9"/>
    <x v="9"/>
    <x v="9"/>
    <x v="0"/>
    <x v="0"/>
  </r>
  <r>
    <x v="0"/>
    <x v="0"/>
    <x v="0"/>
    <x v="0"/>
    <x v="0"/>
    <x v="1"/>
    <x v="1"/>
    <x v="0"/>
    <x v="6"/>
    <x v="10"/>
    <x v="0"/>
    <x v="10"/>
    <x v="10"/>
    <x v="10"/>
    <x v="0"/>
    <x v="0"/>
  </r>
  <r>
    <x v="1"/>
    <x v="1"/>
    <x v="1"/>
    <x v="1"/>
    <x v="0"/>
    <x v="1"/>
    <x v="1"/>
    <x v="10"/>
    <x v="7"/>
    <x v="11"/>
    <x v="0"/>
    <x v="11"/>
    <x v="11"/>
    <x v="11"/>
    <x v="0"/>
    <x v="0"/>
  </r>
  <r>
    <x v="2"/>
    <x v="2"/>
    <x v="2"/>
    <x v="2"/>
    <x v="0"/>
    <x v="1"/>
    <x v="1"/>
    <x v="11"/>
    <x v="8"/>
    <x v="12"/>
    <x v="0"/>
    <x v="12"/>
    <x v="12"/>
    <x v="12"/>
    <x v="0"/>
    <x v="0"/>
  </r>
  <r>
    <x v="3"/>
    <x v="3"/>
    <x v="3"/>
    <x v="3"/>
    <x v="0"/>
    <x v="1"/>
    <x v="1"/>
    <x v="10"/>
    <x v="8"/>
    <x v="13"/>
    <x v="0"/>
    <x v="13"/>
    <x v="13"/>
    <x v="13"/>
    <x v="0"/>
    <x v="0"/>
  </r>
  <r>
    <x v="4"/>
    <x v="4"/>
    <x v="4"/>
    <x v="4"/>
    <x v="0"/>
    <x v="1"/>
    <x v="1"/>
    <x v="12"/>
    <x v="9"/>
    <x v="14"/>
    <x v="0"/>
    <x v="14"/>
    <x v="14"/>
    <x v="14"/>
    <x v="0"/>
    <x v="0"/>
  </r>
  <r>
    <x v="5"/>
    <x v="5"/>
    <x v="5"/>
    <x v="5"/>
    <x v="0"/>
    <x v="1"/>
    <x v="1"/>
    <x v="10"/>
    <x v="10"/>
    <x v="15"/>
    <x v="0"/>
    <x v="15"/>
    <x v="15"/>
    <x v="15"/>
    <x v="0"/>
    <x v="0"/>
  </r>
  <r>
    <x v="6"/>
    <x v="6"/>
    <x v="6"/>
    <x v="6"/>
    <x v="0"/>
    <x v="1"/>
    <x v="1"/>
    <x v="13"/>
    <x v="11"/>
    <x v="16"/>
    <x v="0"/>
    <x v="16"/>
    <x v="16"/>
    <x v="16"/>
    <x v="0"/>
    <x v="0"/>
  </r>
  <r>
    <x v="8"/>
    <x v="8"/>
    <x v="8"/>
    <x v="8"/>
    <x v="0"/>
    <x v="1"/>
    <x v="1"/>
    <x v="14"/>
    <x v="12"/>
    <x v="17"/>
    <x v="0"/>
    <x v="17"/>
    <x v="17"/>
    <x v="17"/>
    <x v="0"/>
    <x v="0"/>
  </r>
  <r>
    <x v="10"/>
    <x v="11"/>
    <x v="11"/>
    <x v="11"/>
    <x v="0"/>
    <x v="1"/>
    <x v="1"/>
    <x v="10"/>
    <x v="13"/>
    <x v="18"/>
    <x v="0"/>
    <x v="18"/>
    <x v="18"/>
    <x v="18"/>
    <x v="0"/>
    <x v="0"/>
  </r>
  <r>
    <x v="10"/>
    <x v="12"/>
    <x v="12"/>
    <x v="12"/>
    <x v="0"/>
    <x v="1"/>
    <x v="1"/>
    <x v="10"/>
    <x v="13"/>
    <x v="18"/>
    <x v="0"/>
    <x v="18"/>
    <x v="18"/>
    <x v="18"/>
    <x v="0"/>
    <x v="0"/>
  </r>
  <r>
    <x v="0"/>
    <x v="0"/>
    <x v="0"/>
    <x v="0"/>
    <x v="0"/>
    <x v="2"/>
    <x v="2"/>
    <x v="15"/>
    <x v="11"/>
    <x v="19"/>
    <x v="0"/>
    <x v="19"/>
    <x v="19"/>
    <x v="19"/>
    <x v="0"/>
    <x v="0"/>
  </r>
  <r>
    <x v="11"/>
    <x v="13"/>
    <x v="13"/>
    <x v="13"/>
    <x v="0"/>
    <x v="2"/>
    <x v="2"/>
    <x v="16"/>
    <x v="14"/>
    <x v="20"/>
    <x v="0"/>
    <x v="20"/>
    <x v="20"/>
    <x v="20"/>
    <x v="0"/>
    <x v="0"/>
  </r>
  <r>
    <x v="1"/>
    <x v="1"/>
    <x v="1"/>
    <x v="1"/>
    <x v="0"/>
    <x v="2"/>
    <x v="2"/>
    <x v="17"/>
    <x v="15"/>
    <x v="21"/>
    <x v="0"/>
    <x v="21"/>
    <x v="21"/>
    <x v="21"/>
    <x v="0"/>
    <x v="0"/>
  </r>
  <r>
    <x v="12"/>
    <x v="14"/>
    <x v="14"/>
    <x v="14"/>
    <x v="0"/>
    <x v="2"/>
    <x v="2"/>
    <x v="18"/>
    <x v="16"/>
    <x v="22"/>
    <x v="0"/>
    <x v="22"/>
    <x v="22"/>
    <x v="22"/>
    <x v="0"/>
    <x v="0"/>
  </r>
  <r>
    <x v="2"/>
    <x v="2"/>
    <x v="2"/>
    <x v="2"/>
    <x v="0"/>
    <x v="2"/>
    <x v="2"/>
    <x v="19"/>
    <x v="17"/>
    <x v="23"/>
    <x v="0"/>
    <x v="23"/>
    <x v="23"/>
    <x v="23"/>
    <x v="0"/>
    <x v="0"/>
  </r>
  <r>
    <x v="4"/>
    <x v="4"/>
    <x v="4"/>
    <x v="4"/>
    <x v="0"/>
    <x v="2"/>
    <x v="2"/>
    <x v="12"/>
    <x v="18"/>
    <x v="24"/>
    <x v="0"/>
    <x v="24"/>
    <x v="24"/>
    <x v="24"/>
    <x v="0"/>
    <x v="0"/>
  </r>
  <r>
    <x v="5"/>
    <x v="5"/>
    <x v="5"/>
    <x v="5"/>
    <x v="0"/>
    <x v="2"/>
    <x v="2"/>
    <x v="20"/>
    <x v="19"/>
    <x v="25"/>
    <x v="0"/>
    <x v="25"/>
    <x v="25"/>
    <x v="25"/>
    <x v="0"/>
    <x v="0"/>
  </r>
  <r>
    <x v="6"/>
    <x v="6"/>
    <x v="6"/>
    <x v="6"/>
    <x v="0"/>
    <x v="2"/>
    <x v="2"/>
    <x v="20"/>
    <x v="20"/>
    <x v="26"/>
    <x v="0"/>
    <x v="26"/>
    <x v="26"/>
    <x v="26"/>
    <x v="0"/>
    <x v="0"/>
  </r>
  <r>
    <x v="7"/>
    <x v="7"/>
    <x v="7"/>
    <x v="7"/>
    <x v="0"/>
    <x v="2"/>
    <x v="2"/>
    <x v="21"/>
    <x v="0"/>
    <x v="21"/>
    <x v="0"/>
    <x v="21"/>
    <x v="21"/>
    <x v="21"/>
    <x v="0"/>
    <x v="0"/>
  </r>
  <r>
    <x v="8"/>
    <x v="8"/>
    <x v="8"/>
    <x v="8"/>
    <x v="0"/>
    <x v="2"/>
    <x v="2"/>
    <x v="22"/>
    <x v="21"/>
    <x v="27"/>
    <x v="0"/>
    <x v="27"/>
    <x v="27"/>
    <x v="27"/>
    <x v="0"/>
    <x v="0"/>
  </r>
  <r>
    <x v="9"/>
    <x v="9"/>
    <x v="9"/>
    <x v="9"/>
    <x v="0"/>
    <x v="2"/>
    <x v="2"/>
    <x v="14"/>
    <x v="22"/>
    <x v="28"/>
    <x v="0"/>
    <x v="28"/>
    <x v="28"/>
    <x v="28"/>
    <x v="0"/>
    <x v="0"/>
  </r>
  <r>
    <x v="10"/>
    <x v="12"/>
    <x v="12"/>
    <x v="12"/>
    <x v="0"/>
    <x v="2"/>
    <x v="2"/>
    <x v="13"/>
    <x v="15"/>
    <x v="29"/>
    <x v="0"/>
    <x v="29"/>
    <x v="29"/>
    <x v="29"/>
    <x v="0"/>
    <x v="0"/>
  </r>
  <r>
    <x v="10"/>
    <x v="15"/>
    <x v="15"/>
    <x v="15"/>
    <x v="0"/>
    <x v="2"/>
    <x v="2"/>
    <x v="13"/>
    <x v="17"/>
    <x v="30"/>
    <x v="0"/>
    <x v="30"/>
    <x v="30"/>
    <x v="30"/>
    <x v="0"/>
    <x v="0"/>
  </r>
  <r>
    <x v="2"/>
    <x v="2"/>
    <x v="2"/>
    <x v="2"/>
    <x v="0"/>
    <x v="3"/>
    <x v="3"/>
    <x v="23"/>
    <x v="23"/>
    <x v="18"/>
    <x v="0"/>
    <x v="18"/>
    <x v="18"/>
    <x v="18"/>
    <x v="0"/>
    <x v="0"/>
  </r>
  <r>
    <x v="4"/>
    <x v="4"/>
    <x v="4"/>
    <x v="4"/>
    <x v="0"/>
    <x v="3"/>
    <x v="3"/>
    <x v="24"/>
    <x v="24"/>
    <x v="31"/>
    <x v="0"/>
    <x v="31"/>
    <x v="31"/>
    <x v="31"/>
    <x v="0"/>
    <x v="0"/>
  </r>
  <r>
    <x v="0"/>
    <x v="0"/>
    <x v="0"/>
    <x v="0"/>
    <x v="0"/>
    <x v="4"/>
    <x v="4"/>
    <x v="25"/>
    <x v="25"/>
    <x v="32"/>
    <x v="0"/>
    <x v="32"/>
    <x v="32"/>
    <x v="32"/>
    <x v="0"/>
    <x v="0"/>
  </r>
  <r>
    <x v="13"/>
    <x v="16"/>
    <x v="16"/>
    <x v="16"/>
    <x v="0"/>
    <x v="4"/>
    <x v="4"/>
    <x v="26"/>
    <x v="26"/>
    <x v="33"/>
    <x v="0"/>
    <x v="33"/>
    <x v="33"/>
    <x v="33"/>
    <x v="0"/>
    <x v="0"/>
  </r>
  <r>
    <x v="1"/>
    <x v="1"/>
    <x v="1"/>
    <x v="1"/>
    <x v="0"/>
    <x v="4"/>
    <x v="4"/>
    <x v="26"/>
    <x v="27"/>
    <x v="34"/>
    <x v="0"/>
    <x v="34"/>
    <x v="34"/>
    <x v="34"/>
    <x v="0"/>
    <x v="0"/>
  </r>
  <r>
    <x v="12"/>
    <x v="14"/>
    <x v="14"/>
    <x v="14"/>
    <x v="0"/>
    <x v="4"/>
    <x v="4"/>
    <x v="10"/>
    <x v="28"/>
    <x v="35"/>
    <x v="0"/>
    <x v="35"/>
    <x v="35"/>
    <x v="35"/>
    <x v="0"/>
    <x v="0"/>
  </r>
  <r>
    <x v="2"/>
    <x v="2"/>
    <x v="2"/>
    <x v="2"/>
    <x v="0"/>
    <x v="4"/>
    <x v="4"/>
    <x v="17"/>
    <x v="29"/>
    <x v="36"/>
    <x v="0"/>
    <x v="36"/>
    <x v="36"/>
    <x v="36"/>
    <x v="0"/>
    <x v="0"/>
  </r>
  <r>
    <x v="4"/>
    <x v="4"/>
    <x v="4"/>
    <x v="4"/>
    <x v="0"/>
    <x v="4"/>
    <x v="4"/>
    <x v="10"/>
    <x v="30"/>
    <x v="37"/>
    <x v="0"/>
    <x v="37"/>
    <x v="37"/>
    <x v="37"/>
    <x v="0"/>
    <x v="0"/>
  </r>
  <r>
    <x v="6"/>
    <x v="6"/>
    <x v="6"/>
    <x v="6"/>
    <x v="0"/>
    <x v="4"/>
    <x v="4"/>
    <x v="27"/>
    <x v="31"/>
    <x v="38"/>
    <x v="0"/>
    <x v="38"/>
    <x v="38"/>
    <x v="38"/>
    <x v="0"/>
    <x v="0"/>
  </r>
  <r>
    <x v="7"/>
    <x v="7"/>
    <x v="7"/>
    <x v="7"/>
    <x v="0"/>
    <x v="4"/>
    <x v="4"/>
    <x v="28"/>
    <x v="32"/>
    <x v="39"/>
    <x v="0"/>
    <x v="39"/>
    <x v="39"/>
    <x v="39"/>
    <x v="0"/>
    <x v="0"/>
  </r>
  <r>
    <x v="8"/>
    <x v="8"/>
    <x v="8"/>
    <x v="8"/>
    <x v="0"/>
    <x v="4"/>
    <x v="4"/>
    <x v="29"/>
    <x v="26"/>
    <x v="40"/>
    <x v="0"/>
    <x v="40"/>
    <x v="40"/>
    <x v="40"/>
    <x v="0"/>
    <x v="0"/>
  </r>
  <r>
    <x v="9"/>
    <x v="9"/>
    <x v="9"/>
    <x v="9"/>
    <x v="0"/>
    <x v="4"/>
    <x v="4"/>
    <x v="30"/>
    <x v="33"/>
    <x v="41"/>
    <x v="0"/>
    <x v="41"/>
    <x v="41"/>
    <x v="41"/>
    <x v="0"/>
    <x v="0"/>
  </r>
  <r>
    <x v="10"/>
    <x v="15"/>
    <x v="15"/>
    <x v="15"/>
    <x v="0"/>
    <x v="4"/>
    <x v="4"/>
    <x v="10"/>
    <x v="34"/>
    <x v="35"/>
    <x v="0"/>
    <x v="35"/>
    <x v="35"/>
    <x v="35"/>
    <x v="0"/>
    <x v="0"/>
  </r>
  <r>
    <x v="10"/>
    <x v="17"/>
    <x v="17"/>
    <x v="17"/>
    <x v="0"/>
    <x v="4"/>
    <x v="4"/>
    <x v="10"/>
    <x v="35"/>
    <x v="42"/>
    <x v="0"/>
    <x v="42"/>
    <x v="42"/>
    <x v="42"/>
    <x v="0"/>
    <x v="0"/>
  </r>
  <r>
    <x v="10"/>
    <x v="18"/>
    <x v="18"/>
    <x v="18"/>
    <x v="0"/>
    <x v="4"/>
    <x v="4"/>
    <x v="10"/>
    <x v="35"/>
    <x v="42"/>
    <x v="0"/>
    <x v="42"/>
    <x v="42"/>
    <x v="42"/>
    <x v="0"/>
    <x v="0"/>
  </r>
  <r>
    <x v="10"/>
    <x v="19"/>
    <x v="19"/>
    <x v="19"/>
    <x v="1"/>
    <x v="5"/>
    <x v="5"/>
    <x v="31"/>
    <x v="36"/>
    <x v="43"/>
    <x v="0"/>
    <x v="43"/>
    <x v="43"/>
    <x v="4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114" firstHeaderRow="1" firstDataRow="1" firstDataCol="4"/>
  <pivotFields count="16">
    <pivotField compact="0" showAll="0"/>
    <pivotField axis="axisRow" compact="0" showAll="0">
      <items count="21">
        <item x="8"/>
        <item x="16"/>
        <item x="14"/>
        <item x="6"/>
        <item x="2"/>
        <item x="0"/>
        <item x="7"/>
        <item x="10"/>
        <item x="11"/>
        <item x="12"/>
        <item x="15"/>
        <item x="17"/>
        <item x="18"/>
        <item x="5"/>
        <item x="4"/>
        <item x="9"/>
        <item x="1"/>
        <item x="3"/>
        <item x="13"/>
        <item x="19"/>
        <item t="default"/>
      </items>
    </pivotField>
    <pivotField axis="axisRow" compact="0" showAll="0">
      <items count="22">
        <item x="5"/>
        <item x="7"/>
        <item x="16"/>
        <item x="14"/>
        <item x="2"/>
        <item x="4"/>
        <item x="8"/>
        <item x="13"/>
        <item x="6"/>
        <item x="9"/>
        <item m="1" x="20"/>
        <item x="11"/>
        <item x="12"/>
        <item x="15"/>
        <item x="17"/>
        <item x="18"/>
        <item x="1"/>
        <item x="3"/>
        <item x="0"/>
        <item x="19"/>
        <item x="10"/>
        <item t="default"/>
      </items>
    </pivotField>
    <pivotField axis="axisRow" compact="0" showAll="0">
      <items count="21">
        <item x="14"/>
        <item x="13"/>
        <item x="16"/>
        <item x="0"/>
        <item x="2"/>
        <item x="4"/>
        <item x="7"/>
        <item x="6"/>
        <item x="11"/>
        <item x="12"/>
        <item x="15"/>
        <item x="17"/>
        <item x="18"/>
        <item x="5"/>
        <item x="1"/>
        <item x="9"/>
        <item x="8"/>
        <item x="3"/>
        <item x="19"/>
        <item x="10"/>
        <item t="default"/>
      </items>
    </pivotField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rowFields count="4">
    <field x="3"/>
    <field x="2"/>
    <field x="1"/>
    <field x="5"/>
  </rowFields>
  <rowItems count="111">
    <i>
      <x/>
    </i>
    <i r="1">
      <x v="3"/>
    </i>
    <i r="2">
      <x v="2"/>
    </i>
    <i r="3">
      <x v="2"/>
    </i>
    <i r="3">
      <x v="4"/>
    </i>
    <i>
      <x v="1"/>
    </i>
    <i r="1">
      <x v="7"/>
    </i>
    <i r="2">
      <x v="18"/>
    </i>
    <i r="3">
      <x v="2"/>
    </i>
    <i>
      <x v="2"/>
    </i>
    <i r="1">
      <x v="2"/>
    </i>
    <i r="2">
      <x v="1"/>
    </i>
    <i r="3">
      <x v="4"/>
    </i>
    <i>
      <x v="3"/>
    </i>
    <i r="1">
      <x v="18"/>
    </i>
    <i r="2">
      <x v="5"/>
    </i>
    <i r="3">
      <x/>
    </i>
    <i r="3">
      <x v="1"/>
    </i>
    <i r="3">
      <x v="2"/>
    </i>
    <i r="3">
      <x v="4"/>
    </i>
    <i>
      <x v="4"/>
    </i>
    <i r="1">
      <x v="4"/>
    </i>
    <i r="2">
      <x v="4"/>
    </i>
    <i r="3">
      <x/>
    </i>
    <i r="3">
      <x v="1"/>
    </i>
    <i r="3">
      <x v="2"/>
    </i>
    <i r="3">
      <x v="3"/>
    </i>
    <i r="3">
      <x v="4"/>
    </i>
    <i>
      <x v="5"/>
    </i>
    <i r="1">
      <x v="5"/>
    </i>
    <i r="2">
      <x v="14"/>
    </i>
    <i r="3">
      <x/>
    </i>
    <i r="3">
      <x v="1"/>
    </i>
    <i r="3">
      <x v="2"/>
    </i>
    <i r="3">
      <x v="3"/>
    </i>
    <i r="3">
      <x v="4"/>
    </i>
    <i>
      <x v="6"/>
    </i>
    <i r="1">
      <x v="1"/>
    </i>
    <i r="2">
      <x v="6"/>
    </i>
    <i r="3">
      <x/>
    </i>
    <i r="3">
      <x v="2"/>
    </i>
    <i r="3">
      <x v="4"/>
    </i>
    <i>
      <x v="7"/>
    </i>
    <i r="1">
      <x v="8"/>
    </i>
    <i r="2">
      <x v="3"/>
    </i>
    <i r="3">
      <x/>
    </i>
    <i r="3">
      <x v="1"/>
    </i>
    <i r="3">
      <x v="2"/>
    </i>
    <i r="3">
      <x v="4"/>
    </i>
    <i>
      <x v="8"/>
    </i>
    <i r="1">
      <x v="11"/>
    </i>
    <i r="2">
      <x v="8"/>
    </i>
    <i r="3">
      <x v="1"/>
    </i>
    <i>
      <x v="9"/>
    </i>
    <i r="1">
      <x v="12"/>
    </i>
    <i r="2">
      <x v="9"/>
    </i>
    <i r="3">
      <x v="1"/>
    </i>
    <i r="3">
      <x v="2"/>
    </i>
    <i>
      <x v="10"/>
    </i>
    <i r="1">
      <x v="13"/>
    </i>
    <i r="2">
      <x v="10"/>
    </i>
    <i r="3">
      <x v="2"/>
    </i>
    <i r="3">
      <x v="4"/>
    </i>
    <i>
      <x v="11"/>
    </i>
    <i r="1">
      <x v="14"/>
    </i>
    <i r="2">
      <x v="11"/>
    </i>
    <i r="3">
      <x v="4"/>
    </i>
    <i>
      <x v="12"/>
    </i>
    <i r="1">
      <x v="15"/>
    </i>
    <i r="2">
      <x v="12"/>
    </i>
    <i r="3">
      <x v="4"/>
    </i>
    <i>
      <x v="13"/>
    </i>
    <i r="1">
      <x/>
    </i>
    <i r="2">
      <x v="13"/>
    </i>
    <i r="3">
      <x/>
    </i>
    <i r="3">
      <x v="1"/>
    </i>
    <i r="3">
      <x v="2"/>
    </i>
    <i>
      <x v="14"/>
    </i>
    <i r="1">
      <x v="16"/>
    </i>
    <i r="2">
      <x v="16"/>
    </i>
    <i r="3">
      <x/>
    </i>
    <i r="3">
      <x v="1"/>
    </i>
    <i r="3">
      <x v="2"/>
    </i>
    <i r="3">
      <x v="4"/>
    </i>
    <i>
      <x v="15"/>
    </i>
    <i r="1">
      <x v="9"/>
    </i>
    <i r="2">
      <x v="15"/>
    </i>
    <i r="3">
      <x/>
    </i>
    <i r="3">
      <x v="2"/>
    </i>
    <i r="3">
      <x v="4"/>
    </i>
    <i>
      <x v="16"/>
    </i>
    <i r="1">
      <x v="6"/>
    </i>
    <i r="2">
      <x/>
    </i>
    <i r="3">
      <x/>
    </i>
    <i r="3">
      <x v="1"/>
    </i>
    <i r="3">
      <x v="2"/>
    </i>
    <i r="3">
      <x v="4"/>
    </i>
    <i>
      <x v="17"/>
    </i>
    <i r="1">
      <x v="17"/>
    </i>
    <i r="2">
      <x v="17"/>
    </i>
    <i r="3">
      <x/>
    </i>
    <i r="3">
      <x v="1"/>
    </i>
    <i>
      <x v="18"/>
    </i>
    <i r="1">
      <x v="19"/>
    </i>
    <i r="2">
      <x v="19"/>
    </i>
    <i r="3">
      <x v="5"/>
    </i>
    <i>
      <x v="19"/>
    </i>
    <i r="1">
      <x v="20"/>
    </i>
    <i r="2">
      <x v="7"/>
    </i>
    <i r="3">
      <x/>
    </i>
    <i t="grand">
      <x/>
    </i>
  </rowItems>
  <colItems count="1">
    <i/>
  </colItems>
  <dataFields count="1">
    <dataField name="求和项:当日总时长-十进制" fld="13" baseField="0" baseItem="0"/>
  </dataFields>
  <formats count="2">
    <format dxfId="0">
      <pivotArea dataOnly="0" axis="axisValues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4"/>
  <sheetViews>
    <sheetView workbookViewId="0">
      <selection activeCell="F108" sqref="F108"/>
    </sheetView>
  </sheetViews>
  <sheetFormatPr defaultColWidth="9.14285714285714" defaultRowHeight="16.8" outlineLevelCol="4"/>
  <cols>
    <col min="1" max="1" width="9.21428571428571"/>
    <col min="2" max="2" width="8.28571428571429"/>
    <col min="3" max="3" width="10.6428571428571"/>
    <col min="4" max="4" width="12.3571428571429"/>
    <col min="5" max="5" width="27.8571428571429" style="35"/>
  </cols>
  <sheetData>
    <row r="3" spans="1:5">
      <c r="A3" t="s">
        <v>0</v>
      </c>
      <c r="B3" t="s">
        <v>1</v>
      </c>
      <c r="C3" t="s">
        <v>2</v>
      </c>
      <c r="D3" t="s">
        <v>3</v>
      </c>
      <c r="E3" s="35" t="s">
        <v>4</v>
      </c>
    </row>
    <row r="4" spans="1:5">
      <c r="A4" t="s">
        <v>5</v>
      </c>
      <c r="B4"/>
      <c r="C4"/>
      <c r="E4" s="35">
        <v>5.81666666666666</v>
      </c>
    </row>
    <row r="5" spans="2:5">
      <c r="B5" t="s">
        <v>6</v>
      </c>
      <c r="C5"/>
      <c r="E5" s="35">
        <v>5.81666666666666</v>
      </c>
    </row>
    <row r="6" spans="3:5">
      <c r="C6" t="s">
        <v>7</v>
      </c>
      <c r="E6" s="35">
        <v>5.81666666666666</v>
      </c>
    </row>
    <row r="7" spans="4:5">
      <c r="D7" t="s">
        <v>8</v>
      </c>
      <c r="E7" s="35">
        <v>0.483333333333333</v>
      </c>
    </row>
    <row r="8" spans="4:5">
      <c r="D8" t="s">
        <v>9</v>
      </c>
      <c r="E8" s="35">
        <v>5.33333333333333</v>
      </c>
    </row>
    <row r="9" spans="1:5">
      <c r="A9" t="s">
        <v>10</v>
      </c>
      <c r="B9"/>
      <c r="C9"/>
      <c r="E9" s="35">
        <v>8.2</v>
      </c>
    </row>
    <row r="10" spans="2:5">
      <c r="B10" t="s">
        <v>11</v>
      </c>
      <c r="C10"/>
      <c r="E10" s="35">
        <v>8.2</v>
      </c>
    </row>
    <row r="11" spans="3:5">
      <c r="C11" t="s">
        <v>12</v>
      </c>
      <c r="E11" s="35">
        <v>8.2</v>
      </c>
    </row>
    <row r="12" spans="4:5">
      <c r="D12" t="s">
        <v>8</v>
      </c>
      <c r="E12" s="35">
        <v>8.2</v>
      </c>
    </row>
    <row r="13" spans="1:5">
      <c r="A13" t="s">
        <v>13</v>
      </c>
      <c r="B13"/>
      <c r="C13"/>
      <c r="E13" s="35">
        <v>7.05</v>
      </c>
    </row>
    <row r="14" spans="2:5">
      <c r="B14" t="s">
        <v>14</v>
      </c>
      <c r="C14"/>
      <c r="E14" s="35">
        <v>7.05</v>
      </c>
    </row>
    <row r="15" spans="3:5">
      <c r="C15" t="s">
        <v>15</v>
      </c>
      <c r="E15" s="35">
        <v>7.05</v>
      </c>
    </row>
    <row r="16" spans="4:5">
      <c r="D16" t="s">
        <v>9</v>
      </c>
      <c r="E16" s="35">
        <v>7.05</v>
      </c>
    </row>
    <row r="17" spans="1:5">
      <c r="A17" t="s">
        <v>16</v>
      </c>
      <c r="B17"/>
      <c r="C17"/>
      <c r="E17" s="35">
        <v>36.3</v>
      </c>
    </row>
    <row r="18" spans="2:5">
      <c r="B18" t="s">
        <v>17</v>
      </c>
      <c r="C18"/>
      <c r="E18" s="35">
        <v>36.3</v>
      </c>
    </row>
    <row r="19" spans="3:5">
      <c r="C19" t="s">
        <v>18</v>
      </c>
      <c r="E19" s="35">
        <v>36.3</v>
      </c>
    </row>
    <row r="20" spans="4:5">
      <c r="D20" t="s">
        <v>19</v>
      </c>
      <c r="E20" s="35">
        <v>7.68333333333333</v>
      </c>
    </row>
    <row r="21" spans="4:5">
      <c r="D21" t="s">
        <v>20</v>
      </c>
      <c r="E21" s="35">
        <v>8.81666666666667</v>
      </c>
    </row>
    <row r="22" spans="4:5">
      <c r="D22" t="s">
        <v>8</v>
      </c>
      <c r="E22" s="35">
        <v>10.1666666666667</v>
      </c>
    </row>
    <row r="23" spans="4:5">
      <c r="D23" t="s">
        <v>9</v>
      </c>
      <c r="E23" s="35">
        <v>9.63333333333333</v>
      </c>
    </row>
    <row r="24" spans="1:5">
      <c r="A24" t="s">
        <v>21</v>
      </c>
      <c r="B24"/>
      <c r="C24"/>
      <c r="E24" s="35">
        <v>32.2333333333333</v>
      </c>
    </row>
    <row r="25" spans="2:5">
      <c r="B25" t="s">
        <v>22</v>
      </c>
      <c r="E25" s="35">
        <v>32.2333333333333</v>
      </c>
    </row>
    <row r="26" spans="3:5">
      <c r="C26" t="s">
        <v>23</v>
      </c>
      <c r="E26" s="35">
        <v>32.2333333333333</v>
      </c>
    </row>
    <row r="27" spans="4:5">
      <c r="D27" t="s">
        <v>19</v>
      </c>
      <c r="E27" s="35">
        <v>5.88333333333333</v>
      </c>
    </row>
    <row r="28" spans="4:5">
      <c r="D28" t="s">
        <v>20</v>
      </c>
      <c r="E28" s="35">
        <v>5.43333333333333</v>
      </c>
    </row>
    <row r="29" spans="4:5">
      <c r="D29" t="s">
        <v>8</v>
      </c>
      <c r="E29" s="35">
        <v>8.23333333333333</v>
      </c>
    </row>
    <row r="30" spans="4:5">
      <c r="D30" t="s">
        <v>24</v>
      </c>
      <c r="E30" s="35">
        <v>5.28333333333333</v>
      </c>
    </row>
    <row r="31" spans="4:5">
      <c r="D31" t="s">
        <v>9</v>
      </c>
      <c r="E31" s="35">
        <v>7.4</v>
      </c>
    </row>
    <row r="32" spans="1:5">
      <c r="A32" t="s">
        <v>25</v>
      </c>
      <c r="B32"/>
      <c r="C32"/>
      <c r="E32" s="35">
        <v>51.9</v>
      </c>
    </row>
    <row r="33" spans="2:5">
      <c r="B33" t="s">
        <v>26</v>
      </c>
      <c r="E33" s="35">
        <v>51.9</v>
      </c>
    </row>
    <row r="34" spans="3:5">
      <c r="C34" t="s">
        <v>27</v>
      </c>
      <c r="E34" s="35">
        <v>51.9</v>
      </c>
    </row>
    <row r="35" spans="4:5">
      <c r="D35" t="s">
        <v>19</v>
      </c>
      <c r="E35" s="35">
        <v>12.4333333333333</v>
      </c>
    </row>
    <row r="36" spans="4:5">
      <c r="D36" t="s">
        <v>20</v>
      </c>
      <c r="E36" s="35">
        <v>13.15</v>
      </c>
    </row>
    <row r="37" spans="4:5">
      <c r="D37" t="s">
        <v>8</v>
      </c>
      <c r="E37" s="35">
        <v>13.0166666666667</v>
      </c>
    </row>
    <row r="38" spans="4:5">
      <c r="D38" t="s">
        <v>24</v>
      </c>
      <c r="E38" s="35">
        <v>5.31666666666667</v>
      </c>
    </row>
    <row r="39" spans="4:5">
      <c r="D39" t="s">
        <v>9</v>
      </c>
      <c r="E39" s="35">
        <v>7.98333333333333</v>
      </c>
    </row>
    <row r="40" spans="1:5">
      <c r="A40" t="s">
        <v>28</v>
      </c>
      <c r="B40"/>
      <c r="E40" s="35">
        <v>15.2</v>
      </c>
    </row>
    <row r="41" spans="2:5">
      <c r="B41" t="s">
        <v>29</v>
      </c>
      <c r="C41"/>
      <c r="E41" s="35">
        <v>15.2</v>
      </c>
    </row>
    <row r="42" spans="3:5">
      <c r="C42" t="s">
        <v>30</v>
      </c>
      <c r="E42" s="35">
        <v>15.2</v>
      </c>
    </row>
    <row r="43" spans="4:5">
      <c r="D43" t="s">
        <v>19</v>
      </c>
      <c r="E43" s="35">
        <v>6.23333333333333</v>
      </c>
    </row>
    <row r="44" spans="4:5">
      <c r="D44" t="s">
        <v>8</v>
      </c>
      <c r="E44" s="35">
        <v>6.13333333333333</v>
      </c>
    </row>
    <row r="45" spans="4:5">
      <c r="D45" t="s">
        <v>9</v>
      </c>
      <c r="E45" s="35">
        <v>2.83333333333333</v>
      </c>
    </row>
    <row r="46" spans="1:5">
      <c r="A46" t="s">
        <v>31</v>
      </c>
      <c r="B46"/>
      <c r="E46" s="35">
        <v>26.4833333333333</v>
      </c>
    </row>
    <row r="47" spans="2:5">
      <c r="B47" t="s">
        <v>31</v>
      </c>
      <c r="C47"/>
      <c r="E47" s="35">
        <v>26.4833333333333</v>
      </c>
    </row>
    <row r="48" spans="3:5">
      <c r="C48" t="s">
        <v>32</v>
      </c>
      <c r="E48" s="35">
        <v>26.4833333333333</v>
      </c>
    </row>
    <row r="49" spans="4:5">
      <c r="D49" t="s">
        <v>19</v>
      </c>
      <c r="E49" s="35">
        <v>6.06666666666667</v>
      </c>
    </row>
    <row r="50" spans="4:5">
      <c r="D50" t="s">
        <v>20</v>
      </c>
      <c r="E50" s="35">
        <v>8.58333333333333</v>
      </c>
    </row>
    <row r="51" spans="4:5">
      <c r="D51" t="s">
        <v>8</v>
      </c>
      <c r="E51" s="35">
        <v>4.7</v>
      </c>
    </row>
    <row r="52" spans="4:5">
      <c r="D52" t="s">
        <v>9</v>
      </c>
      <c r="E52" s="35">
        <v>7.13333333333333</v>
      </c>
    </row>
    <row r="53" spans="1:5">
      <c r="A53" t="s">
        <v>33</v>
      </c>
      <c r="E53" s="35">
        <v>5.28333333333333</v>
      </c>
    </row>
    <row r="54" spans="2:5">
      <c r="B54" t="s">
        <v>33</v>
      </c>
      <c r="E54" s="35">
        <v>5.28333333333333</v>
      </c>
    </row>
    <row r="55" spans="3:5">
      <c r="C55" t="s">
        <v>33</v>
      </c>
      <c r="E55" s="35">
        <v>5.28333333333333</v>
      </c>
    </row>
    <row r="56" spans="4:5">
      <c r="D56" t="s">
        <v>20</v>
      </c>
      <c r="E56" s="35">
        <v>5.28333333333333</v>
      </c>
    </row>
    <row r="57" spans="1:5">
      <c r="A57" t="s">
        <v>34</v>
      </c>
      <c r="B57"/>
      <c r="E57" s="35">
        <v>11.7833333333333</v>
      </c>
    </row>
    <row r="58" spans="2:5">
      <c r="B58" t="s">
        <v>34</v>
      </c>
      <c r="C58"/>
      <c r="E58" s="35">
        <v>11.7833333333333</v>
      </c>
    </row>
    <row r="59" spans="3:5">
      <c r="C59" t="s">
        <v>34</v>
      </c>
      <c r="D59"/>
      <c r="E59" s="35">
        <v>11.7833333333333</v>
      </c>
    </row>
    <row r="60" spans="4:5">
      <c r="D60" t="s">
        <v>20</v>
      </c>
      <c r="E60" s="35">
        <v>5.28333333333333</v>
      </c>
    </row>
    <row r="61" spans="4:5">
      <c r="D61" t="s">
        <v>8</v>
      </c>
      <c r="E61" s="35">
        <v>6.5</v>
      </c>
    </row>
    <row r="62" spans="1:5">
      <c r="A62" t="s">
        <v>35</v>
      </c>
      <c r="E62" s="35">
        <v>13.5</v>
      </c>
    </row>
    <row r="63" spans="2:5">
      <c r="B63" t="s">
        <v>35</v>
      </c>
      <c r="E63" s="35">
        <v>13.5</v>
      </c>
    </row>
    <row r="64" spans="3:5">
      <c r="C64" t="s">
        <v>35</v>
      </c>
      <c r="D64"/>
      <c r="E64" s="35">
        <v>13.5</v>
      </c>
    </row>
    <row r="65" spans="4:5">
      <c r="D65" t="s">
        <v>8</v>
      </c>
      <c r="E65" s="35">
        <v>8.16666666666667</v>
      </c>
    </row>
    <row r="66" spans="4:5">
      <c r="D66" t="s">
        <v>9</v>
      </c>
      <c r="E66" s="35">
        <v>5.33333333333333</v>
      </c>
    </row>
    <row r="67" spans="1:5">
      <c r="A67" t="s">
        <v>36</v>
      </c>
      <c r="E67" s="35">
        <v>6.41666666666667</v>
      </c>
    </row>
    <row r="68" spans="2:5">
      <c r="B68" t="s">
        <v>36</v>
      </c>
      <c r="E68" s="35">
        <v>6.41666666666667</v>
      </c>
    </row>
    <row r="69" spans="3:5">
      <c r="C69" t="s">
        <v>36</v>
      </c>
      <c r="D69"/>
      <c r="E69" s="35">
        <v>6.41666666666667</v>
      </c>
    </row>
    <row r="70" spans="4:5">
      <c r="D70" t="s">
        <v>9</v>
      </c>
      <c r="E70" s="35">
        <v>6.41666666666667</v>
      </c>
    </row>
    <row r="71" spans="1:5">
      <c r="A71" t="s">
        <v>37</v>
      </c>
      <c r="B71"/>
      <c r="E71" s="35">
        <v>6.41666666666667</v>
      </c>
    </row>
    <row r="72" spans="2:5">
      <c r="B72" t="s">
        <v>37</v>
      </c>
      <c r="C72"/>
      <c r="E72" s="35">
        <v>6.41666666666667</v>
      </c>
    </row>
    <row r="73" spans="3:5">
      <c r="C73" t="s">
        <v>37</v>
      </c>
      <c r="D73"/>
      <c r="E73" s="35">
        <v>6.41666666666667</v>
      </c>
    </row>
    <row r="74" spans="4:5">
      <c r="D74" t="s">
        <v>9</v>
      </c>
      <c r="E74" s="35">
        <v>6.41666666666667</v>
      </c>
    </row>
    <row r="75" spans="1:5">
      <c r="A75" t="s">
        <v>38</v>
      </c>
      <c r="B75"/>
      <c r="E75" s="35">
        <v>15.8</v>
      </c>
    </row>
    <row r="76" spans="2:5">
      <c r="B76" t="s">
        <v>39</v>
      </c>
      <c r="C76"/>
      <c r="E76" s="35">
        <v>15.8</v>
      </c>
    </row>
    <row r="77" spans="3:5">
      <c r="C77" t="s">
        <v>38</v>
      </c>
      <c r="D77"/>
      <c r="E77" s="35">
        <v>15.8</v>
      </c>
    </row>
    <row r="78" spans="4:5">
      <c r="D78" t="s">
        <v>19</v>
      </c>
      <c r="E78" s="35">
        <v>5.96666666666667</v>
      </c>
    </row>
    <row r="79" spans="4:5">
      <c r="D79" t="s">
        <v>20</v>
      </c>
      <c r="E79" s="35">
        <v>4.73333333333333</v>
      </c>
    </row>
    <row r="80" spans="4:5">
      <c r="D80" t="s">
        <v>8</v>
      </c>
      <c r="E80" s="35">
        <v>5.1</v>
      </c>
    </row>
    <row r="81" spans="1:5">
      <c r="A81" t="s">
        <v>40</v>
      </c>
      <c r="E81" s="35">
        <v>24.1166666666667</v>
      </c>
    </row>
    <row r="82" spans="2:5">
      <c r="B82" t="s">
        <v>40</v>
      </c>
      <c r="E82" s="35">
        <v>24.1166666666667</v>
      </c>
    </row>
    <row r="83" spans="3:5">
      <c r="C83" t="s">
        <v>41</v>
      </c>
      <c r="D83"/>
      <c r="E83" s="35">
        <v>24.1166666666667</v>
      </c>
    </row>
    <row r="84" spans="4:5">
      <c r="D84" t="s">
        <v>19</v>
      </c>
      <c r="E84" s="35">
        <v>5.61666666666667</v>
      </c>
    </row>
    <row r="85" spans="4:5">
      <c r="D85" t="s">
        <v>20</v>
      </c>
      <c r="E85" s="35">
        <v>5.48333333333333</v>
      </c>
    </row>
    <row r="86" spans="4:5">
      <c r="D86" t="s">
        <v>8</v>
      </c>
      <c r="E86" s="35">
        <v>6.13333333333333</v>
      </c>
    </row>
    <row r="87" spans="4:5">
      <c r="D87" t="s">
        <v>9</v>
      </c>
      <c r="E87" s="35">
        <v>6.88333333333333</v>
      </c>
    </row>
    <row r="88" spans="1:5">
      <c r="A88" t="s">
        <v>42</v>
      </c>
      <c r="E88" s="35">
        <v>15.85</v>
      </c>
    </row>
    <row r="89" spans="2:5">
      <c r="B89" t="s">
        <v>43</v>
      </c>
      <c r="E89" s="35">
        <v>15.85</v>
      </c>
    </row>
    <row r="90" spans="3:5">
      <c r="C90" t="s">
        <v>42</v>
      </c>
      <c r="D90"/>
      <c r="E90" s="35">
        <v>15.85</v>
      </c>
    </row>
    <row r="91" spans="4:5">
      <c r="D91" t="s">
        <v>19</v>
      </c>
      <c r="E91" s="35">
        <v>5.73333333333333</v>
      </c>
    </row>
    <row r="92" spans="4:5">
      <c r="D92" t="s">
        <v>8</v>
      </c>
      <c r="E92" s="35">
        <v>6.1</v>
      </c>
    </row>
    <row r="93" spans="4:5">
      <c r="D93" t="s">
        <v>9</v>
      </c>
      <c r="E93" s="35">
        <v>4.01666666666667</v>
      </c>
    </row>
    <row r="94" spans="1:5">
      <c r="A94" t="s">
        <v>44</v>
      </c>
      <c r="E94" s="35">
        <v>27.7833333333333</v>
      </c>
    </row>
    <row r="95" spans="2:5">
      <c r="B95" t="s">
        <v>23</v>
      </c>
      <c r="E95" s="35">
        <v>27.7833333333333</v>
      </c>
    </row>
    <row r="96" spans="3:5">
      <c r="C96" t="s">
        <v>45</v>
      </c>
      <c r="D96"/>
      <c r="E96" s="35">
        <v>27.7833333333333</v>
      </c>
    </row>
    <row r="97" spans="4:5">
      <c r="D97" t="s">
        <v>19</v>
      </c>
      <c r="E97" s="35">
        <v>5.93333333333333</v>
      </c>
    </row>
    <row r="98" spans="4:5">
      <c r="D98" t="s">
        <v>20</v>
      </c>
      <c r="E98" s="35">
        <v>5.98333333333333</v>
      </c>
    </row>
    <row r="99" spans="4:5">
      <c r="D99" t="s">
        <v>8</v>
      </c>
      <c r="E99" s="35">
        <v>8.26666666666667</v>
      </c>
    </row>
    <row r="100" spans="4:5">
      <c r="D100" t="s">
        <v>9</v>
      </c>
      <c r="E100" s="35">
        <v>7.6</v>
      </c>
    </row>
    <row r="101" spans="1:5">
      <c r="A101" t="s">
        <v>46</v>
      </c>
      <c r="E101" s="35">
        <v>11.3</v>
      </c>
    </row>
    <row r="102" spans="2:5">
      <c r="B102" t="s">
        <v>46</v>
      </c>
      <c r="E102" s="35">
        <v>11.3</v>
      </c>
    </row>
    <row r="103" spans="3:5">
      <c r="C103" t="s">
        <v>47</v>
      </c>
      <c r="D103"/>
      <c r="E103" s="35">
        <v>11.3</v>
      </c>
    </row>
    <row r="104" spans="4:5">
      <c r="D104" t="s">
        <v>19</v>
      </c>
      <c r="E104" s="35">
        <v>5.88333333333333</v>
      </c>
    </row>
    <row r="105" spans="4:5">
      <c r="D105" t="s">
        <v>20</v>
      </c>
      <c r="E105" s="35">
        <v>5.41666666666667</v>
      </c>
    </row>
    <row r="106" spans="1:1">
      <c r="A106" t="s">
        <v>48</v>
      </c>
    </row>
    <row r="107" spans="2:2">
      <c r="B107" t="s">
        <v>48</v>
      </c>
    </row>
    <row r="108" spans="3:3">
      <c r="C108" t="s">
        <v>48</v>
      </c>
    </row>
    <row r="109" spans="4:4">
      <c r="D109" t="s">
        <v>48</v>
      </c>
    </row>
    <row r="110" spans="1:5">
      <c r="A110" t="s">
        <v>49</v>
      </c>
      <c r="B110"/>
      <c r="E110" s="35">
        <v>5.25</v>
      </c>
    </row>
    <row r="111" spans="2:5">
      <c r="B111" t="s">
        <v>49</v>
      </c>
      <c r="C111"/>
      <c r="E111" s="35">
        <v>5.25</v>
      </c>
    </row>
    <row r="112" spans="3:5">
      <c r="C112" t="s">
        <v>49</v>
      </c>
      <c r="D112"/>
      <c r="E112" s="35">
        <v>5.25</v>
      </c>
    </row>
    <row r="113" spans="4:5">
      <c r="D113" t="s">
        <v>19</v>
      </c>
      <c r="E113" s="35">
        <v>5.25</v>
      </c>
    </row>
    <row r="114" spans="1:5">
      <c r="A114" t="s">
        <v>50</v>
      </c>
      <c r="E114" s="35">
        <v>326.683333333333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"/>
  <sheetViews>
    <sheetView tabSelected="1" zoomScale="53" zoomScaleNormal="53" workbookViewId="0">
      <pane ySplit="1" topLeftCell="A2" activePane="bottomLeft" state="frozen"/>
      <selection/>
      <selection pane="bottomLeft" activeCell="D12" sqref="D12"/>
    </sheetView>
  </sheetViews>
  <sheetFormatPr defaultColWidth="9" defaultRowHeight="16.8"/>
  <cols>
    <col min="1" max="1" width="32.6785714285714" style="15" customWidth="1"/>
    <col min="2" max="2" width="23.2857142857143" style="15" customWidth="1"/>
    <col min="3" max="3" width="22.8571428571429" style="15" customWidth="1"/>
    <col min="4" max="4" width="28.0357142857143" style="15" customWidth="1"/>
    <col min="5" max="5" width="9" style="15"/>
    <col min="6" max="6" width="16.6071428571429" style="18" customWidth="1"/>
    <col min="7" max="8" width="9" style="15"/>
    <col min="9" max="9" width="11.25" style="15" customWidth="1"/>
    <col min="10" max="10" width="8.52678571428571" style="15" customWidth="1"/>
    <col min="11" max="11" width="19.5803571428571" style="15" customWidth="1"/>
    <col min="12" max="12" width="14.75" style="15" customWidth="1"/>
    <col min="13" max="13" width="22.8303571428571" style="19" customWidth="1"/>
    <col min="14" max="14" width="19.1607142857143" style="20" customWidth="1"/>
    <col min="15" max="15" width="21.75" style="15" customWidth="1"/>
    <col min="16" max="16" width="24.4285714285714" style="15" customWidth="1"/>
    <col min="17" max="17" width="10.8303571428571" style="15" customWidth="1"/>
    <col min="18" max="18" width="12.7857142857143" style="15"/>
    <col min="19" max="19" width="9" style="15"/>
    <col min="20" max="20" width="12.7857142857143" style="15"/>
    <col min="21" max="16384" width="9" style="15"/>
  </cols>
  <sheetData>
    <row r="1" s="14" customFormat="1" spans="1:16">
      <c r="A1" s="14" t="s">
        <v>51</v>
      </c>
      <c r="B1" s="14" t="s">
        <v>2</v>
      </c>
      <c r="C1" s="14" t="s">
        <v>1</v>
      </c>
      <c r="D1" s="14" t="s">
        <v>0</v>
      </c>
      <c r="E1" s="14" t="s">
        <v>52</v>
      </c>
      <c r="F1" s="26" t="s">
        <v>3</v>
      </c>
      <c r="G1" s="14" t="s">
        <v>53</v>
      </c>
      <c r="H1" s="14" t="s">
        <v>54</v>
      </c>
      <c r="I1" s="14" t="s">
        <v>55</v>
      </c>
      <c r="J1" s="14" t="s">
        <v>56</v>
      </c>
      <c r="K1" s="14" t="s">
        <v>57</v>
      </c>
      <c r="L1" s="14" t="s">
        <v>58</v>
      </c>
      <c r="M1" s="32" t="s">
        <v>59</v>
      </c>
      <c r="N1" s="33" t="s">
        <v>60</v>
      </c>
      <c r="O1" s="14" t="s">
        <v>61</v>
      </c>
      <c r="P1" s="14" t="s">
        <v>62</v>
      </c>
    </row>
    <row r="2" s="14" customFormat="1" spans="1:14">
      <c r="A2" s="21">
        <v>15113735</v>
      </c>
      <c r="B2" s="21" t="s">
        <v>18</v>
      </c>
      <c r="C2" s="21" t="s">
        <v>17</v>
      </c>
      <c r="D2" s="21" t="s">
        <v>16</v>
      </c>
      <c r="E2" s="21" t="s">
        <v>63</v>
      </c>
      <c r="F2" s="21" t="s">
        <v>19</v>
      </c>
      <c r="G2" s="21" t="s">
        <v>64</v>
      </c>
      <c r="H2" s="27">
        <v>0.413194444444444</v>
      </c>
      <c r="I2" s="27">
        <v>0.733333333333333</v>
      </c>
      <c r="J2" s="27">
        <v>0.320138888888889</v>
      </c>
      <c r="L2" s="31">
        <f t="shared" ref="L2:L12" si="0">HOUR($J2)+MINUTE($J2)/60</f>
        <v>7.68333333333333</v>
      </c>
      <c r="M2" s="19">
        <f t="shared" ref="M2:M12" si="1">$L2-$K2</f>
        <v>7.68333333333333</v>
      </c>
      <c r="N2" s="20">
        <f t="shared" ref="N2:N12" si="2">M2</f>
        <v>7.68333333333333</v>
      </c>
    </row>
    <row r="3" s="14" customFormat="1" spans="1:14">
      <c r="A3" s="21">
        <v>15217673</v>
      </c>
      <c r="B3" s="21" t="s">
        <v>41</v>
      </c>
      <c r="C3" s="21" t="s">
        <v>40</v>
      </c>
      <c r="D3" s="21" t="s">
        <v>40</v>
      </c>
      <c r="E3" s="21" t="s">
        <v>63</v>
      </c>
      <c r="F3" s="21" t="s">
        <v>19</v>
      </c>
      <c r="G3" s="21" t="s">
        <v>64</v>
      </c>
      <c r="H3" s="27">
        <v>0.464583333333333</v>
      </c>
      <c r="I3" s="27">
        <v>0.698611111111111</v>
      </c>
      <c r="J3" s="27">
        <v>0.234027777777778</v>
      </c>
      <c r="L3" s="31">
        <f t="shared" si="0"/>
        <v>5.61666666666667</v>
      </c>
      <c r="M3" s="19">
        <f t="shared" si="1"/>
        <v>5.61666666666667</v>
      </c>
      <c r="N3" s="20">
        <f t="shared" si="2"/>
        <v>5.61666666666667</v>
      </c>
    </row>
    <row r="4" s="14" customFormat="1" spans="1:14">
      <c r="A4" s="21">
        <v>2025082101</v>
      </c>
      <c r="B4" s="21" t="s">
        <v>23</v>
      </c>
      <c r="C4" s="21" t="s">
        <v>22</v>
      </c>
      <c r="D4" s="21" t="s">
        <v>21</v>
      </c>
      <c r="E4" s="21" t="s">
        <v>63</v>
      </c>
      <c r="F4" s="21" t="s">
        <v>19</v>
      </c>
      <c r="G4" s="21" t="s">
        <v>64</v>
      </c>
      <c r="H4" s="27">
        <v>0.451388888888889</v>
      </c>
      <c r="I4" s="27">
        <v>0.697222222222222</v>
      </c>
      <c r="J4" s="27">
        <v>0.245138888888889</v>
      </c>
      <c r="L4" s="31">
        <f t="shared" si="0"/>
        <v>5.88333333333333</v>
      </c>
      <c r="M4" s="19">
        <f t="shared" si="1"/>
        <v>5.88333333333333</v>
      </c>
      <c r="N4" s="20">
        <f t="shared" si="2"/>
        <v>5.88333333333333</v>
      </c>
    </row>
    <row r="5" s="14" customFormat="1" spans="1:14">
      <c r="A5" s="21">
        <v>2025082201</v>
      </c>
      <c r="B5" s="21" t="s">
        <v>47</v>
      </c>
      <c r="C5" s="21" t="s">
        <v>46</v>
      </c>
      <c r="D5" s="21" t="s">
        <v>46</v>
      </c>
      <c r="E5" s="21" t="s">
        <v>63</v>
      </c>
      <c r="F5" s="21" t="s">
        <v>19</v>
      </c>
      <c r="G5" s="21" t="s">
        <v>64</v>
      </c>
      <c r="H5" s="27">
        <v>0.452083333333333</v>
      </c>
      <c r="I5" s="27">
        <v>0.697222222222222</v>
      </c>
      <c r="J5" s="27">
        <v>0.245138888888889</v>
      </c>
      <c r="L5" s="31">
        <f t="shared" si="0"/>
        <v>5.88333333333333</v>
      </c>
      <c r="M5" s="19">
        <f t="shared" si="1"/>
        <v>5.88333333333333</v>
      </c>
      <c r="N5" s="20">
        <f t="shared" si="2"/>
        <v>5.88333333333333</v>
      </c>
    </row>
    <row r="6" s="14" customFormat="1" spans="1:14">
      <c r="A6" s="21">
        <v>2025082701</v>
      </c>
      <c r="B6" s="21" t="s">
        <v>27</v>
      </c>
      <c r="C6" s="21" t="s">
        <v>26</v>
      </c>
      <c r="D6" s="21" t="s">
        <v>25</v>
      </c>
      <c r="E6" s="21" t="s">
        <v>63</v>
      </c>
      <c r="F6" s="21" t="s">
        <v>19</v>
      </c>
      <c r="G6" s="21" t="s">
        <v>64</v>
      </c>
      <c r="H6" s="27">
        <v>0.295138888888889</v>
      </c>
      <c r="I6" s="27">
        <v>0.813888888888889</v>
      </c>
      <c r="J6" s="27">
        <v>0.518055555555556</v>
      </c>
      <c r="L6" s="31">
        <f t="shared" si="0"/>
        <v>12.4333333333333</v>
      </c>
      <c r="M6" s="19">
        <f t="shared" si="1"/>
        <v>12.4333333333333</v>
      </c>
      <c r="N6" s="20">
        <f t="shared" si="2"/>
        <v>12.4333333333333</v>
      </c>
    </row>
    <row r="7" s="14" customFormat="1" spans="1:14">
      <c r="A7" s="21">
        <v>2025100902</v>
      </c>
      <c r="B7" s="21" t="s">
        <v>38</v>
      </c>
      <c r="C7" s="21" t="s">
        <v>39</v>
      </c>
      <c r="D7" s="21" t="s">
        <v>38</v>
      </c>
      <c r="E7" s="21" t="s">
        <v>63</v>
      </c>
      <c r="F7" s="21" t="s">
        <v>19</v>
      </c>
      <c r="G7" s="21" t="s">
        <v>64</v>
      </c>
      <c r="H7" s="27">
        <v>0.456944444444444</v>
      </c>
      <c r="I7" s="27">
        <v>0.705555555555556</v>
      </c>
      <c r="J7" s="27">
        <v>0.248611111111111</v>
      </c>
      <c r="L7" s="31">
        <f t="shared" si="0"/>
        <v>5.96666666666667</v>
      </c>
      <c r="M7" s="19">
        <f t="shared" si="1"/>
        <v>5.96666666666667</v>
      </c>
      <c r="N7" s="20">
        <f t="shared" si="2"/>
        <v>5.96666666666667</v>
      </c>
    </row>
    <row r="8" s="14" customFormat="1" spans="1:14">
      <c r="A8" s="21">
        <v>2025100903</v>
      </c>
      <c r="B8" s="21" t="s">
        <v>32</v>
      </c>
      <c r="C8" s="21" t="s">
        <v>31</v>
      </c>
      <c r="D8" s="21" t="s">
        <v>31</v>
      </c>
      <c r="E8" s="21" t="s">
        <v>63</v>
      </c>
      <c r="F8" s="21" t="s">
        <v>19</v>
      </c>
      <c r="G8" s="21" t="s">
        <v>64</v>
      </c>
      <c r="H8" s="27">
        <v>0.445833333333333</v>
      </c>
      <c r="I8" s="27">
        <v>0.698611111111111</v>
      </c>
      <c r="J8" s="27">
        <v>0.252777777777778</v>
      </c>
      <c r="L8" s="31">
        <f t="shared" si="0"/>
        <v>6.06666666666667</v>
      </c>
      <c r="M8" s="19">
        <f t="shared" si="1"/>
        <v>6.06666666666667</v>
      </c>
      <c r="N8" s="20">
        <f t="shared" si="2"/>
        <v>6.06666666666667</v>
      </c>
    </row>
    <row r="9" s="14" customFormat="1" spans="1:14">
      <c r="A9" s="21">
        <v>2105105606</v>
      </c>
      <c r="B9" s="21" t="s">
        <v>30</v>
      </c>
      <c r="C9" s="21" t="s">
        <v>29</v>
      </c>
      <c r="D9" s="21" t="s">
        <v>28</v>
      </c>
      <c r="E9" s="21" t="s">
        <v>63</v>
      </c>
      <c r="F9" s="21" t="s">
        <v>19</v>
      </c>
      <c r="G9" s="21" t="s">
        <v>64</v>
      </c>
      <c r="H9" s="27">
        <v>0.445833333333333</v>
      </c>
      <c r="I9" s="27">
        <v>0.705555555555556</v>
      </c>
      <c r="J9" s="27">
        <v>0.259722222222222</v>
      </c>
      <c r="L9" s="31">
        <f t="shared" si="0"/>
        <v>6.23333333333333</v>
      </c>
      <c r="M9" s="19">
        <f t="shared" si="1"/>
        <v>6.23333333333333</v>
      </c>
      <c r="N9" s="20">
        <f t="shared" si="2"/>
        <v>6.23333333333333</v>
      </c>
    </row>
    <row r="10" s="14" customFormat="1" spans="1:14">
      <c r="A10" s="21">
        <v>2105161402</v>
      </c>
      <c r="B10" s="21" t="s">
        <v>45</v>
      </c>
      <c r="C10" s="21" t="s">
        <v>23</v>
      </c>
      <c r="D10" s="21" t="s">
        <v>44</v>
      </c>
      <c r="E10" s="21" t="s">
        <v>63</v>
      </c>
      <c r="F10" s="21" t="s">
        <v>19</v>
      </c>
      <c r="G10" s="21" t="s">
        <v>64</v>
      </c>
      <c r="H10" s="27">
        <v>0.450694444444444</v>
      </c>
      <c r="I10" s="27">
        <v>0.698611111111111</v>
      </c>
      <c r="J10" s="27">
        <v>0.247222222222222</v>
      </c>
      <c r="L10" s="31">
        <f t="shared" si="0"/>
        <v>5.93333333333333</v>
      </c>
      <c r="M10" s="19">
        <f t="shared" si="1"/>
        <v>5.93333333333333</v>
      </c>
      <c r="N10" s="20">
        <f t="shared" si="2"/>
        <v>5.93333333333333</v>
      </c>
    </row>
    <row r="11" s="14" customFormat="1" spans="1:14">
      <c r="A11" s="21">
        <v>2105315602</v>
      </c>
      <c r="B11" s="21" t="s">
        <v>42</v>
      </c>
      <c r="C11" s="21" t="s">
        <v>43</v>
      </c>
      <c r="D11" s="21" t="s">
        <v>42</v>
      </c>
      <c r="E11" s="21" t="s">
        <v>63</v>
      </c>
      <c r="F11" s="21" t="s">
        <v>19</v>
      </c>
      <c r="G11" s="21" t="s">
        <v>64</v>
      </c>
      <c r="H11" s="27">
        <v>0.466666666666667</v>
      </c>
      <c r="I11" s="27">
        <v>0.705555555555556</v>
      </c>
      <c r="J11" s="27">
        <v>0.238888888888889</v>
      </c>
      <c r="L11" s="31">
        <f t="shared" si="0"/>
        <v>5.73333333333333</v>
      </c>
      <c r="M11" s="19">
        <f t="shared" si="1"/>
        <v>5.73333333333333</v>
      </c>
      <c r="N11" s="20">
        <f t="shared" si="2"/>
        <v>5.73333333333333</v>
      </c>
    </row>
    <row r="12" s="14" customFormat="1" spans="1:14">
      <c r="A12" s="21"/>
      <c r="B12" s="21" t="s">
        <v>49</v>
      </c>
      <c r="C12" s="21" t="s">
        <v>49</v>
      </c>
      <c r="D12" s="21" t="s">
        <v>49</v>
      </c>
      <c r="E12" s="21" t="s">
        <v>63</v>
      </c>
      <c r="F12" s="21" t="s">
        <v>19</v>
      </c>
      <c r="G12" s="21" t="s">
        <v>64</v>
      </c>
      <c r="H12" s="27">
        <v>0.458333333333333</v>
      </c>
      <c r="I12" s="27">
        <v>0.177083333333333</v>
      </c>
      <c r="J12" s="27">
        <v>0.21875</v>
      </c>
      <c r="L12" s="31">
        <f t="shared" si="0"/>
        <v>5.25</v>
      </c>
      <c r="M12" s="19">
        <f t="shared" si="1"/>
        <v>5.25</v>
      </c>
      <c r="N12" s="20">
        <f t="shared" si="2"/>
        <v>5.25</v>
      </c>
    </row>
    <row r="13" s="14" customFormat="1" spans="1:14">
      <c r="A13" s="22">
        <v>15113735</v>
      </c>
      <c r="B13" s="22" t="s">
        <v>18</v>
      </c>
      <c r="C13" s="22" t="s">
        <v>17</v>
      </c>
      <c r="D13" s="22" t="s">
        <v>16</v>
      </c>
      <c r="E13" s="22" t="s">
        <v>63</v>
      </c>
      <c r="F13" s="22" t="s">
        <v>20</v>
      </c>
      <c r="G13" s="22" t="s">
        <v>65</v>
      </c>
      <c r="H13" s="28">
        <v>0.413194444444444</v>
      </c>
      <c r="I13" s="28">
        <v>0.78125</v>
      </c>
      <c r="J13" s="28">
        <v>0.367361111111111</v>
      </c>
      <c r="L13" s="31">
        <f t="shared" ref="L13:L20" si="3">HOUR($J13)+MINUTE($J13)/60</f>
        <v>8.81666666666667</v>
      </c>
      <c r="M13" s="19">
        <f t="shared" ref="M13:M20" si="4">$L13-$K13</f>
        <v>8.81666666666667</v>
      </c>
      <c r="N13" s="20">
        <f t="shared" ref="N13:N20" si="5">M13</f>
        <v>8.81666666666667</v>
      </c>
    </row>
    <row r="14" s="14" customFormat="1" spans="1:14">
      <c r="A14" s="22">
        <v>15217673</v>
      </c>
      <c r="B14" s="22" t="s">
        <v>41</v>
      </c>
      <c r="C14" s="22" t="s">
        <v>40</v>
      </c>
      <c r="D14" s="22" t="s">
        <v>40</v>
      </c>
      <c r="E14" s="22" t="s">
        <v>63</v>
      </c>
      <c r="F14" s="22" t="s">
        <v>20</v>
      </c>
      <c r="G14" s="22" t="s">
        <v>65</v>
      </c>
      <c r="H14" s="28">
        <v>0.5</v>
      </c>
      <c r="I14" s="28">
        <v>0.729166666666667</v>
      </c>
      <c r="J14" s="28">
        <v>0.228472222222222</v>
      </c>
      <c r="L14" s="31">
        <f t="shared" si="3"/>
        <v>5.48333333333333</v>
      </c>
      <c r="M14" s="19">
        <f t="shared" si="4"/>
        <v>5.48333333333333</v>
      </c>
      <c r="N14" s="20">
        <f t="shared" si="5"/>
        <v>5.48333333333333</v>
      </c>
    </row>
    <row r="15" s="15" customFormat="1" spans="1:16">
      <c r="A15" s="22">
        <v>2025082101</v>
      </c>
      <c r="B15" s="22" t="s">
        <v>23</v>
      </c>
      <c r="C15" s="22" t="s">
        <v>22</v>
      </c>
      <c r="D15" s="22" t="s">
        <v>21</v>
      </c>
      <c r="E15" s="22" t="s">
        <v>63</v>
      </c>
      <c r="F15" s="22" t="s">
        <v>20</v>
      </c>
      <c r="G15" s="22" t="s">
        <v>65</v>
      </c>
      <c r="H15" s="28">
        <v>0.499305555555556</v>
      </c>
      <c r="I15" s="28">
        <v>0.725694444444444</v>
      </c>
      <c r="J15" s="28">
        <v>0.226388888888889</v>
      </c>
      <c r="L15" s="31">
        <f t="shared" si="3"/>
        <v>5.43333333333333</v>
      </c>
      <c r="M15" s="19">
        <f t="shared" si="4"/>
        <v>5.43333333333333</v>
      </c>
      <c r="N15" s="20">
        <f t="shared" si="5"/>
        <v>5.43333333333333</v>
      </c>
      <c r="O15" s="20"/>
      <c r="P15" s="34"/>
    </row>
    <row r="16" s="15" customFormat="1" spans="1:16">
      <c r="A16" s="22">
        <v>2025082201</v>
      </c>
      <c r="B16" s="22" t="s">
        <v>47</v>
      </c>
      <c r="C16" s="22" t="s">
        <v>46</v>
      </c>
      <c r="D16" s="22" t="s">
        <v>46</v>
      </c>
      <c r="E16" s="22" t="s">
        <v>63</v>
      </c>
      <c r="F16" s="22" t="s">
        <v>20</v>
      </c>
      <c r="G16" s="22" t="s">
        <v>65</v>
      </c>
      <c r="H16" s="28">
        <v>0.5</v>
      </c>
      <c r="I16" s="28">
        <v>0.725694444444444</v>
      </c>
      <c r="J16" s="28">
        <v>0.225694444444444</v>
      </c>
      <c r="L16" s="31">
        <f t="shared" si="3"/>
        <v>5.41666666666667</v>
      </c>
      <c r="M16" s="19">
        <f t="shared" si="4"/>
        <v>5.41666666666667</v>
      </c>
      <c r="N16" s="20">
        <f t="shared" si="5"/>
        <v>5.41666666666667</v>
      </c>
      <c r="O16" s="20"/>
      <c r="P16" s="34"/>
    </row>
    <row r="17" spans="1:16">
      <c r="A17" s="22">
        <v>2025082701</v>
      </c>
      <c r="B17" s="22" t="s">
        <v>27</v>
      </c>
      <c r="C17" s="22" t="s">
        <v>26</v>
      </c>
      <c r="D17" s="22" t="s">
        <v>25</v>
      </c>
      <c r="E17" s="22" t="s">
        <v>63</v>
      </c>
      <c r="F17" s="22" t="s">
        <v>20</v>
      </c>
      <c r="G17" s="22" t="s">
        <v>65</v>
      </c>
      <c r="H17" s="28">
        <v>0.291666666666667</v>
      </c>
      <c r="I17" s="28">
        <v>0.839583333333333</v>
      </c>
      <c r="J17" s="28">
        <v>0.547916666666667</v>
      </c>
      <c r="L17" s="31">
        <f t="shared" si="3"/>
        <v>13.15</v>
      </c>
      <c r="M17" s="19">
        <f t="shared" si="4"/>
        <v>13.15</v>
      </c>
      <c r="N17" s="20">
        <f t="shared" si="5"/>
        <v>13.15</v>
      </c>
      <c r="O17" s="20"/>
      <c r="P17" s="34"/>
    </row>
    <row r="18" spans="1:16">
      <c r="A18" s="22">
        <v>2025100902</v>
      </c>
      <c r="B18" s="22" t="s">
        <v>38</v>
      </c>
      <c r="C18" s="22" t="s">
        <v>39</v>
      </c>
      <c r="D18" s="22" t="s">
        <v>38</v>
      </c>
      <c r="E18" s="22" t="s">
        <v>63</v>
      </c>
      <c r="F18" s="22" t="s">
        <v>20</v>
      </c>
      <c r="G18" s="22" t="s">
        <v>65</v>
      </c>
      <c r="H18" s="28">
        <v>0.5</v>
      </c>
      <c r="I18" s="28">
        <v>0.697916666666667</v>
      </c>
      <c r="J18" s="28">
        <v>0.197222222222222</v>
      </c>
      <c r="L18" s="31">
        <f t="shared" si="3"/>
        <v>4.73333333333333</v>
      </c>
      <c r="M18" s="19">
        <f t="shared" si="4"/>
        <v>4.73333333333333</v>
      </c>
      <c r="N18" s="20">
        <f t="shared" si="5"/>
        <v>4.73333333333333</v>
      </c>
      <c r="O18" s="20"/>
      <c r="P18" s="34"/>
    </row>
    <row r="19" spans="1:16">
      <c r="A19" s="22">
        <v>2025100903</v>
      </c>
      <c r="B19" s="22" t="s">
        <v>32</v>
      </c>
      <c r="C19" s="22" t="s">
        <v>31</v>
      </c>
      <c r="D19" s="22" t="s">
        <v>31</v>
      </c>
      <c r="E19" s="22" t="s">
        <v>63</v>
      </c>
      <c r="F19" s="22" t="s">
        <v>20</v>
      </c>
      <c r="G19" s="22" t="s">
        <v>65</v>
      </c>
      <c r="H19" s="28">
        <v>0.479166666666667</v>
      </c>
      <c r="I19" s="28">
        <v>0.836805555555556</v>
      </c>
      <c r="J19" s="28">
        <v>0.357638888888889</v>
      </c>
      <c r="L19" s="31">
        <f t="shared" si="3"/>
        <v>8.58333333333333</v>
      </c>
      <c r="M19" s="19">
        <f t="shared" si="4"/>
        <v>8.58333333333333</v>
      </c>
      <c r="N19" s="20">
        <f t="shared" si="5"/>
        <v>8.58333333333333</v>
      </c>
      <c r="O19" s="20"/>
      <c r="P19" s="34"/>
    </row>
    <row r="20" spans="1:16">
      <c r="A20" s="22">
        <v>2105161402</v>
      </c>
      <c r="B20" s="22" t="s">
        <v>45</v>
      </c>
      <c r="C20" s="22" t="s">
        <v>23</v>
      </c>
      <c r="D20" s="22" t="s">
        <v>44</v>
      </c>
      <c r="E20" s="22" t="s">
        <v>63</v>
      </c>
      <c r="F20" s="22" t="s">
        <v>20</v>
      </c>
      <c r="G20" s="22" t="s">
        <v>65</v>
      </c>
      <c r="H20" s="28">
        <v>0.477777777777778</v>
      </c>
      <c r="I20" s="28">
        <v>0.727777777777778</v>
      </c>
      <c r="J20" s="28">
        <v>0.249305555555556</v>
      </c>
      <c r="L20" s="31">
        <f t="shared" si="3"/>
        <v>5.98333333333333</v>
      </c>
      <c r="M20" s="19">
        <f t="shared" si="4"/>
        <v>5.98333333333333</v>
      </c>
      <c r="N20" s="20">
        <f t="shared" si="5"/>
        <v>5.98333333333333</v>
      </c>
      <c r="O20" s="20"/>
      <c r="P20" s="34"/>
    </row>
    <row r="21" s="15" customFormat="1" spans="1:16">
      <c r="A21" s="21"/>
      <c r="B21" s="21" t="s">
        <v>33</v>
      </c>
      <c r="C21" s="21" t="s">
        <v>33</v>
      </c>
      <c r="D21" s="21" t="s">
        <v>33</v>
      </c>
      <c r="E21" s="22" t="s">
        <v>63</v>
      </c>
      <c r="F21" s="22" t="s">
        <v>20</v>
      </c>
      <c r="G21" s="22" t="s">
        <v>65</v>
      </c>
      <c r="H21" s="27">
        <v>0.5</v>
      </c>
      <c r="I21" s="27">
        <v>0.720138888888889</v>
      </c>
      <c r="J21" s="27">
        <v>0.220138888888889</v>
      </c>
      <c r="L21" s="31">
        <f>HOUR($J21)+MINUTE($J21)/60</f>
        <v>5.28333333333333</v>
      </c>
      <c r="M21" s="19">
        <f>$L21-$K21</f>
        <v>5.28333333333333</v>
      </c>
      <c r="N21" s="20">
        <f>M21</f>
        <v>5.28333333333333</v>
      </c>
      <c r="O21" s="20"/>
      <c r="P21" s="34"/>
    </row>
    <row r="22" spans="1:16">
      <c r="A22" s="21"/>
      <c r="B22" s="21" t="s">
        <v>34</v>
      </c>
      <c r="C22" s="21" t="s">
        <v>34</v>
      </c>
      <c r="D22" s="21" t="s">
        <v>34</v>
      </c>
      <c r="E22" s="22" t="s">
        <v>63</v>
      </c>
      <c r="F22" s="22" t="s">
        <v>20</v>
      </c>
      <c r="G22" s="22" t="s">
        <v>65</v>
      </c>
      <c r="H22" s="27">
        <v>0.5</v>
      </c>
      <c r="I22" s="27">
        <v>0.720138888888889</v>
      </c>
      <c r="J22" s="27">
        <v>0.220138888888889</v>
      </c>
      <c r="L22" s="31">
        <f>HOUR($J22)+MINUTE($J22)/60</f>
        <v>5.28333333333333</v>
      </c>
      <c r="M22" s="19">
        <f>$L22-$K22</f>
        <v>5.28333333333333</v>
      </c>
      <c r="N22" s="20">
        <f>M22</f>
        <v>5.28333333333333</v>
      </c>
      <c r="O22" s="20"/>
      <c r="P22" s="34"/>
    </row>
    <row r="23" s="15" customFormat="1" spans="1:16">
      <c r="A23" s="21">
        <v>15113735</v>
      </c>
      <c r="B23" s="21" t="s">
        <v>18</v>
      </c>
      <c r="C23" s="21" t="s">
        <v>17</v>
      </c>
      <c r="D23" s="21" t="s">
        <v>16</v>
      </c>
      <c r="E23" s="21" t="s">
        <v>63</v>
      </c>
      <c r="F23" s="21" t="s">
        <v>8</v>
      </c>
      <c r="G23" s="21" t="s">
        <v>66</v>
      </c>
      <c r="H23" s="27">
        <v>0.4125</v>
      </c>
      <c r="I23" s="27">
        <v>0.836805555555556</v>
      </c>
      <c r="J23" s="27">
        <v>0.423611111111111</v>
      </c>
      <c r="L23" s="31">
        <f t="shared" ref="L23:L33" si="6">HOUR($J23)+MINUTE($J23)/60</f>
        <v>10.1666666666667</v>
      </c>
      <c r="M23" s="19">
        <f t="shared" ref="M23:M33" si="7">$L23-$K23</f>
        <v>10.1666666666667</v>
      </c>
      <c r="N23" s="20">
        <f t="shared" ref="N23:N33" si="8">M23</f>
        <v>10.1666666666667</v>
      </c>
      <c r="O23" s="20"/>
      <c r="P23" s="34"/>
    </row>
    <row r="24" s="15" customFormat="1" spans="1:16">
      <c r="A24" s="21">
        <v>15200903</v>
      </c>
      <c r="B24" s="21" t="s">
        <v>12</v>
      </c>
      <c r="C24" s="21" t="s">
        <v>11</v>
      </c>
      <c r="D24" s="21" t="s">
        <v>10</v>
      </c>
      <c r="E24" s="21" t="s">
        <v>63</v>
      </c>
      <c r="F24" s="21" t="s">
        <v>8</v>
      </c>
      <c r="G24" s="21" t="s">
        <v>66</v>
      </c>
      <c r="H24" s="27">
        <v>0.480555555555556</v>
      </c>
      <c r="I24" s="27">
        <v>0.822916666666667</v>
      </c>
      <c r="J24" s="27">
        <v>0.341666666666667</v>
      </c>
      <c r="L24" s="31">
        <f t="shared" si="6"/>
        <v>8.2</v>
      </c>
      <c r="M24" s="19">
        <f t="shared" si="7"/>
        <v>8.2</v>
      </c>
      <c r="N24" s="20">
        <f t="shared" si="8"/>
        <v>8.2</v>
      </c>
      <c r="O24" s="20"/>
      <c r="P24" s="34"/>
    </row>
    <row r="25" s="16" customFormat="1" spans="1:16">
      <c r="A25" s="21">
        <v>15217673</v>
      </c>
      <c r="B25" s="21" t="s">
        <v>41</v>
      </c>
      <c r="C25" s="21" t="s">
        <v>40</v>
      </c>
      <c r="D25" s="21" t="s">
        <v>40</v>
      </c>
      <c r="E25" s="21" t="s">
        <v>63</v>
      </c>
      <c r="F25" s="21" t="s">
        <v>8</v>
      </c>
      <c r="G25" s="21" t="s">
        <v>66</v>
      </c>
      <c r="H25" s="27">
        <v>0.494444444444444</v>
      </c>
      <c r="I25" s="27">
        <v>0.75</v>
      </c>
      <c r="J25" s="27">
        <v>0.255555555555556</v>
      </c>
      <c r="L25" s="31">
        <f t="shared" si="6"/>
        <v>6.13333333333333</v>
      </c>
      <c r="M25" s="19">
        <f t="shared" si="7"/>
        <v>6.13333333333333</v>
      </c>
      <c r="N25" s="20">
        <f t="shared" si="8"/>
        <v>6.13333333333333</v>
      </c>
      <c r="O25" s="20"/>
      <c r="P25" s="34"/>
    </row>
    <row r="26" s="16" customFormat="1" spans="1:16">
      <c r="A26" s="21">
        <v>20250731</v>
      </c>
      <c r="B26" s="21" t="s">
        <v>7</v>
      </c>
      <c r="C26" s="21" t="s">
        <v>6</v>
      </c>
      <c r="D26" s="21" t="s">
        <v>5</v>
      </c>
      <c r="E26" s="21" t="s">
        <v>63</v>
      </c>
      <c r="F26" s="21" t="s">
        <v>8</v>
      </c>
      <c r="G26" s="21" t="s">
        <v>66</v>
      </c>
      <c r="H26" s="27">
        <v>0.640277777777778</v>
      </c>
      <c r="I26" s="27">
        <v>0.660416666666667</v>
      </c>
      <c r="J26" s="27">
        <v>0.0201388888888889</v>
      </c>
      <c r="L26" s="31">
        <f t="shared" si="6"/>
        <v>0.483333333333333</v>
      </c>
      <c r="M26" s="19">
        <f t="shared" si="7"/>
        <v>0.483333333333333</v>
      </c>
      <c r="N26" s="20">
        <f t="shared" si="8"/>
        <v>0.483333333333333</v>
      </c>
      <c r="O26" s="20"/>
      <c r="P26" s="34"/>
    </row>
    <row r="27" spans="1:16">
      <c r="A27" s="21">
        <v>2025082101</v>
      </c>
      <c r="B27" s="21" t="s">
        <v>23</v>
      </c>
      <c r="C27" s="21" t="s">
        <v>22</v>
      </c>
      <c r="D27" s="21" t="s">
        <v>21</v>
      </c>
      <c r="E27" s="21" t="s">
        <v>63</v>
      </c>
      <c r="F27" s="21" t="s">
        <v>8</v>
      </c>
      <c r="G27" s="21" t="s">
        <v>66</v>
      </c>
      <c r="H27" s="27">
        <v>0.475694444444444</v>
      </c>
      <c r="I27" s="27">
        <v>0.819444444444444</v>
      </c>
      <c r="J27" s="27">
        <v>0.343055555555556</v>
      </c>
      <c r="L27" s="31">
        <f t="shared" si="6"/>
        <v>8.23333333333333</v>
      </c>
      <c r="M27" s="19">
        <f t="shared" si="7"/>
        <v>8.23333333333333</v>
      </c>
      <c r="N27" s="20">
        <f t="shared" si="8"/>
        <v>8.23333333333333</v>
      </c>
      <c r="O27" s="20"/>
      <c r="P27" s="34"/>
    </row>
    <row r="28" spans="1:16">
      <c r="A28" s="21">
        <v>2025082701</v>
      </c>
      <c r="B28" s="21" t="s">
        <v>27</v>
      </c>
      <c r="C28" s="21" t="s">
        <v>26</v>
      </c>
      <c r="D28" s="21" t="s">
        <v>25</v>
      </c>
      <c r="E28" s="21" t="s">
        <v>63</v>
      </c>
      <c r="F28" s="21" t="s">
        <v>8</v>
      </c>
      <c r="G28" s="21" t="s">
        <v>66</v>
      </c>
      <c r="H28" s="27">
        <v>0.291666666666667</v>
      </c>
      <c r="I28" s="27">
        <v>0.834027777777778</v>
      </c>
      <c r="J28" s="27">
        <v>0.542361111111111</v>
      </c>
      <c r="L28" s="31">
        <f t="shared" si="6"/>
        <v>13.0166666666667</v>
      </c>
      <c r="M28" s="19">
        <f t="shared" si="7"/>
        <v>13.0166666666667</v>
      </c>
      <c r="N28" s="20">
        <f t="shared" si="8"/>
        <v>13.0166666666667</v>
      </c>
      <c r="O28" s="20"/>
      <c r="P28" s="34"/>
    </row>
    <row r="29" spans="1:16">
      <c r="A29" s="21">
        <v>2025100902</v>
      </c>
      <c r="B29" s="21" t="s">
        <v>38</v>
      </c>
      <c r="C29" s="21" t="s">
        <v>39</v>
      </c>
      <c r="D29" s="21" t="s">
        <v>38</v>
      </c>
      <c r="E29" s="21" t="s">
        <v>63</v>
      </c>
      <c r="F29" s="21" t="s">
        <v>8</v>
      </c>
      <c r="G29" s="21" t="s">
        <v>66</v>
      </c>
      <c r="H29" s="27">
        <v>0.478472222222222</v>
      </c>
      <c r="I29" s="27">
        <v>0.691666666666667</v>
      </c>
      <c r="J29" s="27">
        <v>0.2125</v>
      </c>
      <c r="L29" s="31">
        <f t="shared" si="6"/>
        <v>5.1</v>
      </c>
      <c r="M29" s="19">
        <f t="shared" si="7"/>
        <v>5.1</v>
      </c>
      <c r="N29" s="20">
        <f t="shared" si="8"/>
        <v>5.1</v>
      </c>
      <c r="O29" s="34"/>
      <c r="P29" s="34"/>
    </row>
    <row r="30" spans="1:16">
      <c r="A30" s="21">
        <v>2025100903</v>
      </c>
      <c r="B30" s="21" t="s">
        <v>32</v>
      </c>
      <c r="C30" s="21" t="s">
        <v>31</v>
      </c>
      <c r="D30" s="21" t="s">
        <v>31</v>
      </c>
      <c r="E30" s="21" t="s">
        <v>63</v>
      </c>
      <c r="F30" s="21" t="s">
        <v>8</v>
      </c>
      <c r="G30" s="21" t="s">
        <v>66</v>
      </c>
      <c r="H30" s="27">
        <v>0.478472222222222</v>
      </c>
      <c r="I30" s="27">
        <v>0.675</v>
      </c>
      <c r="J30" s="27">
        <v>0.195833333333333</v>
      </c>
      <c r="L30" s="31">
        <f t="shared" si="6"/>
        <v>4.7</v>
      </c>
      <c r="M30" s="19">
        <f t="shared" si="7"/>
        <v>4.7</v>
      </c>
      <c r="N30" s="20">
        <f t="shared" si="8"/>
        <v>4.7</v>
      </c>
      <c r="O30" s="34"/>
      <c r="P30" s="34"/>
    </row>
    <row r="31" spans="1:16">
      <c r="A31" s="21">
        <v>2105105606</v>
      </c>
      <c r="B31" s="21" t="s">
        <v>30</v>
      </c>
      <c r="C31" s="21" t="s">
        <v>29</v>
      </c>
      <c r="D31" s="21" t="s">
        <v>28</v>
      </c>
      <c r="E31" s="21" t="s">
        <v>63</v>
      </c>
      <c r="F31" s="21" t="s">
        <v>8</v>
      </c>
      <c r="G31" s="21" t="s">
        <v>66</v>
      </c>
      <c r="H31" s="27">
        <v>0.477083333333333</v>
      </c>
      <c r="I31" s="27">
        <v>0.733333333333333</v>
      </c>
      <c r="J31" s="27">
        <v>0.255555555555556</v>
      </c>
      <c r="L31" s="31">
        <f t="shared" si="6"/>
        <v>6.13333333333333</v>
      </c>
      <c r="M31" s="19">
        <f t="shared" si="7"/>
        <v>6.13333333333333</v>
      </c>
      <c r="N31" s="20">
        <f t="shared" si="8"/>
        <v>6.13333333333333</v>
      </c>
      <c r="O31" s="34"/>
      <c r="P31" s="34"/>
    </row>
    <row r="32" spans="1:16">
      <c r="A32" s="21">
        <v>2105161402</v>
      </c>
      <c r="B32" s="21" t="s">
        <v>45</v>
      </c>
      <c r="C32" s="21" t="s">
        <v>23</v>
      </c>
      <c r="D32" s="21" t="s">
        <v>44</v>
      </c>
      <c r="E32" s="21" t="s">
        <v>63</v>
      </c>
      <c r="F32" s="21" t="s">
        <v>8</v>
      </c>
      <c r="G32" s="21" t="s">
        <v>66</v>
      </c>
      <c r="H32" s="27">
        <v>0.476388888888889</v>
      </c>
      <c r="I32" s="27">
        <v>0.821527777777778</v>
      </c>
      <c r="J32" s="27">
        <v>0.344444444444444</v>
      </c>
      <c r="L32" s="31">
        <f t="shared" si="6"/>
        <v>8.26666666666667</v>
      </c>
      <c r="M32" s="19">
        <f t="shared" si="7"/>
        <v>8.26666666666667</v>
      </c>
      <c r="N32" s="20">
        <f t="shared" si="8"/>
        <v>8.26666666666667</v>
      </c>
      <c r="O32" s="34"/>
      <c r="P32" s="34"/>
    </row>
    <row r="33" spans="1:16">
      <c r="A33" s="21">
        <v>2105315602</v>
      </c>
      <c r="B33" s="21" t="s">
        <v>42</v>
      </c>
      <c r="C33" s="21" t="s">
        <v>43</v>
      </c>
      <c r="D33" s="21" t="s">
        <v>42</v>
      </c>
      <c r="E33" s="21" t="s">
        <v>63</v>
      </c>
      <c r="F33" s="21" t="s">
        <v>8</v>
      </c>
      <c r="G33" s="21" t="s">
        <v>66</v>
      </c>
      <c r="H33" s="27">
        <v>0.477777777777778</v>
      </c>
      <c r="I33" s="27">
        <v>0.731944444444444</v>
      </c>
      <c r="J33" s="27">
        <v>0.254166666666667</v>
      </c>
      <c r="L33" s="31">
        <f t="shared" si="6"/>
        <v>6.1</v>
      </c>
      <c r="M33" s="19">
        <f t="shared" si="7"/>
        <v>6.1</v>
      </c>
      <c r="N33" s="20">
        <f t="shared" si="8"/>
        <v>6.1</v>
      </c>
      <c r="O33" s="34"/>
      <c r="P33" s="34"/>
    </row>
    <row r="34" spans="1:16">
      <c r="A34" s="21"/>
      <c r="B34" s="21" t="s">
        <v>34</v>
      </c>
      <c r="C34" s="21" t="s">
        <v>34</v>
      </c>
      <c r="D34" s="21" t="s">
        <v>34</v>
      </c>
      <c r="E34" s="21" t="s">
        <v>63</v>
      </c>
      <c r="F34" s="21" t="s">
        <v>8</v>
      </c>
      <c r="G34" s="21" t="s">
        <v>66</v>
      </c>
      <c r="H34" s="27">
        <v>0.479166666666667</v>
      </c>
      <c r="I34" s="27">
        <v>0.75</v>
      </c>
      <c r="J34" s="27">
        <v>0.270833333333333</v>
      </c>
      <c r="L34" s="31">
        <f>HOUR($J34)+MINUTE($J34)/60</f>
        <v>6.5</v>
      </c>
      <c r="M34" s="19">
        <f>$L34-$K34</f>
        <v>6.5</v>
      </c>
      <c r="N34" s="20">
        <f>M34</f>
        <v>6.5</v>
      </c>
      <c r="O34" s="34"/>
      <c r="P34" s="34"/>
    </row>
    <row r="35" s="15" customFormat="1" spans="1:16">
      <c r="A35" s="21"/>
      <c r="B35" s="21" t="s">
        <v>35</v>
      </c>
      <c r="C35" s="21" t="s">
        <v>35</v>
      </c>
      <c r="D35" s="21" t="s">
        <v>35</v>
      </c>
      <c r="E35" s="21" t="s">
        <v>63</v>
      </c>
      <c r="F35" s="21" t="s">
        <v>8</v>
      </c>
      <c r="G35" s="21" t="s">
        <v>66</v>
      </c>
      <c r="H35" s="27">
        <v>0.479166666666667</v>
      </c>
      <c r="I35" s="27">
        <v>0.819444444444444</v>
      </c>
      <c r="J35" s="27">
        <v>0.340277777777778</v>
      </c>
      <c r="L35" s="31">
        <f>HOUR($J35)+MINUTE($J35)/60</f>
        <v>8.16666666666667</v>
      </c>
      <c r="M35" s="19">
        <f>$L35-$K35</f>
        <v>8.16666666666667</v>
      </c>
      <c r="N35" s="20">
        <f>M35</f>
        <v>8.16666666666667</v>
      </c>
      <c r="O35" s="34"/>
      <c r="P35" s="34"/>
    </row>
    <row r="36" spans="1:14">
      <c r="A36" s="23">
        <v>2025082101</v>
      </c>
      <c r="B36" s="23" t="s">
        <v>23</v>
      </c>
      <c r="C36" s="23" t="s">
        <v>22</v>
      </c>
      <c r="D36" s="23" t="s">
        <v>21</v>
      </c>
      <c r="E36" s="23" t="s">
        <v>63</v>
      </c>
      <c r="F36" s="23" t="s">
        <v>24</v>
      </c>
      <c r="G36" s="23" t="s">
        <v>67</v>
      </c>
      <c r="H36" s="29">
        <v>0.293055555555556</v>
      </c>
      <c r="I36" s="29">
        <v>0.513194444444444</v>
      </c>
      <c r="J36" s="29">
        <v>0.220138888888889</v>
      </c>
      <c r="L36" s="31">
        <f>HOUR($J36)+MINUTE($J36)/60</f>
        <v>5.28333333333333</v>
      </c>
      <c r="M36" s="19">
        <f>$L36-$K36</f>
        <v>5.28333333333333</v>
      </c>
      <c r="N36" s="20">
        <f>M36</f>
        <v>5.28333333333333</v>
      </c>
    </row>
    <row r="37" s="15" customFormat="1" spans="1:16">
      <c r="A37" s="23">
        <v>2025082701</v>
      </c>
      <c r="B37" s="23" t="s">
        <v>27</v>
      </c>
      <c r="C37" s="23" t="s">
        <v>26</v>
      </c>
      <c r="D37" s="23" t="s">
        <v>25</v>
      </c>
      <c r="E37" s="23" t="s">
        <v>63</v>
      </c>
      <c r="F37" s="23" t="s">
        <v>24</v>
      </c>
      <c r="G37" s="23" t="s">
        <v>67</v>
      </c>
      <c r="H37" s="29">
        <v>0.292361111111111</v>
      </c>
      <c r="I37" s="29">
        <v>0.513888888888889</v>
      </c>
      <c r="J37" s="29">
        <v>0.221527777777778</v>
      </c>
      <c r="L37" s="31">
        <f>HOUR($J37)+MINUTE($J37)/60</f>
        <v>5.31666666666667</v>
      </c>
      <c r="M37" s="19">
        <f>$L37-$K37</f>
        <v>5.31666666666667</v>
      </c>
      <c r="N37" s="20">
        <f>M37</f>
        <v>5.31666666666667</v>
      </c>
      <c r="O37" s="34"/>
      <c r="P37" s="34"/>
    </row>
    <row r="38" s="17" customFormat="1" spans="1:16">
      <c r="A38" s="23">
        <v>15113735</v>
      </c>
      <c r="B38" s="23" t="s">
        <v>18</v>
      </c>
      <c r="C38" s="23" t="s">
        <v>17</v>
      </c>
      <c r="D38" s="23" t="s">
        <v>16</v>
      </c>
      <c r="E38" s="23" t="s">
        <v>63</v>
      </c>
      <c r="F38" s="23" t="s">
        <v>9</v>
      </c>
      <c r="G38" s="23" t="s">
        <v>68</v>
      </c>
      <c r="H38" s="29">
        <v>0.432638888888889</v>
      </c>
      <c r="I38" s="29">
        <v>0.834722222222222</v>
      </c>
      <c r="J38" s="29">
        <v>0.401388888888889</v>
      </c>
      <c r="L38" s="31">
        <f>HOUR($J38)+MINUTE($J38)/60</f>
        <v>9.63333333333333</v>
      </c>
      <c r="M38" s="19">
        <f>$L38-$K38</f>
        <v>9.63333333333333</v>
      </c>
      <c r="N38" s="20">
        <f>M38</f>
        <v>9.63333333333333</v>
      </c>
      <c r="O38" s="34"/>
      <c r="P38" s="34"/>
    </row>
    <row r="39" s="17" customFormat="1" spans="1:16">
      <c r="A39" s="23">
        <v>15197673</v>
      </c>
      <c r="B39" s="23" t="s">
        <v>15</v>
      </c>
      <c r="C39" s="23" t="s">
        <v>14</v>
      </c>
      <c r="D39" s="23" t="s">
        <v>13</v>
      </c>
      <c r="E39" s="23" t="s">
        <v>63</v>
      </c>
      <c r="F39" s="23" t="s">
        <v>9</v>
      </c>
      <c r="G39" s="23" t="s">
        <v>68</v>
      </c>
      <c r="H39" s="29">
        <v>0.505555555555556</v>
      </c>
      <c r="I39" s="29">
        <v>0.799305555555556</v>
      </c>
      <c r="J39" s="29">
        <v>0.29375</v>
      </c>
      <c r="L39" s="31">
        <f t="shared" ref="L39:L47" si="9">HOUR($J39)+MINUTE($J39)/60</f>
        <v>7.05</v>
      </c>
      <c r="M39" s="19">
        <f t="shared" ref="M39:M47" si="10">$L39-$K39</f>
        <v>7.05</v>
      </c>
      <c r="N39" s="20">
        <f t="shared" ref="N39:N47" si="11">M39</f>
        <v>7.05</v>
      </c>
      <c r="O39" s="34"/>
      <c r="P39" s="34"/>
    </row>
    <row r="40" s="17" customFormat="1" spans="1:16">
      <c r="A40" s="23">
        <v>15217673</v>
      </c>
      <c r="B40" s="23" t="s">
        <v>41</v>
      </c>
      <c r="C40" s="23" t="s">
        <v>40</v>
      </c>
      <c r="D40" s="23" t="s">
        <v>40</v>
      </c>
      <c r="E40" s="23" t="s">
        <v>63</v>
      </c>
      <c r="F40" s="23" t="s">
        <v>9</v>
      </c>
      <c r="G40" s="23" t="s">
        <v>68</v>
      </c>
      <c r="H40" s="29">
        <v>0.505555555555556</v>
      </c>
      <c r="I40" s="29">
        <v>0.793055555555556</v>
      </c>
      <c r="J40" s="29">
        <v>0.286805555555556</v>
      </c>
      <c r="L40" s="31">
        <f t="shared" si="9"/>
        <v>6.88333333333333</v>
      </c>
      <c r="M40" s="19">
        <f t="shared" si="10"/>
        <v>6.88333333333333</v>
      </c>
      <c r="N40" s="20">
        <f t="shared" si="11"/>
        <v>6.88333333333333</v>
      </c>
      <c r="O40" s="34"/>
      <c r="P40" s="34"/>
    </row>
    <row r="41" s="17" customFormat="1" spans="1:16">
      <c r="A41" s="23">
        <v>20250731</v>
      </c>
      <c r="B41" s="23" t="s">
        <v>7</v>
      </c>
      <c r="C41" s="23" t="s">
        <v>6</v>
      </c>
      <c r="D41" s="23" t="s">
        <v>5</v>
      </c>
      <c r="E41" s="23" t="s">
        <v>63</v>
      </c>
      <c r="F41" s="23" t="s">
        <v>9</v>
      </c>
      <c r="G41" s="23" t="s">
        <v>68</v>
      </c>
      <c r="H41" s="29">
        <v>0.5</v>
      </c>
      <c r="I41" s="29">
        <v>0.722916666666667</v>
      </c>
      <c r="J41" s="29">
        <v>0.222222222222222</v>
      </c>
      <c r="L41" s="31">
        <f t="shared" si="9"/>
        <v>5.33333333333333</v>
      </c>
      <c r="M41" s="19">
        <f t="shared" si="10"/>
        <v>5.33333333333333</v>
      </c>
      <c r="N41" s="20">
        <f t="shared" si="11"/>
        <v>5.33333333333333</v>
      </c>
      <c r="O41" s="34"/>
      <c r="P41" s="34"/>
    </row>
    <row r="42" s="17" customFormat="1" spans="1:16">
      <c r="A42" s="23">
        <v>2025082101</v>
      </c>
      <c r="B42" s="23" t="s">
        <v>23</v>
      </c>
      <c r="C42" s="23" t="s">
        <v>22</v>
      </c>
      <c r="D42" s="23" t="s">
        <v>21</v>
      </c>
      <c r="E42" s="23" t="s">
        <v>63</v>
      </c>
      <c r="F42" s="23" t="s">
        <v>9</v>
      </c>
      <c r="G42" s="23" t="s">
        <v>68</v>
      </c>
      <c r="H42" s="29">
        <v>0.494444444444444</v>
      </c>
      <c r="I42" s="29">
        <v>0.803472222222222</v>
      </c>
      <c r="J42" s="29">
        <v>0.308333333333333</v>
      </c>
      <c r="L42" s="31">
        <f t="shared" si="9"/>
        <v>7.4</v>
      </c>
      <c r="M42" s="19">
        <f t="shared" si="10"/>
        <v>7.4</v>
      </c>
      <c r="N42" s="20">
        <f t="shared" si="11"/>
        <v>7.4</v>
      </c>
      <c r="O42" s="34"/>
      <c r="P42" s="34"/>
    </row>
    <row r="43" s="17" customFormat="1" spans="1:16">
      <c r="A43" s="23">
        <v>2025082701</v>
      </c>
      <c r="B43" s="23" t="s">
        <v>27</v>
      </c>
      <c r="C43" s="23" t="s">
        <v>26</v>
      </c>
      <c r="D43" s="23" t="s">
        <v>25</v>
      </c>
      <c r="E43" s="23" t="s">
        <v>63</v>
      </c>
      <c r="F43" s="23" t="s">
        <v>9</v>
      </c>
      <c r="G43" s="23" t="s">
        <v>68</v>
      </c>
      <c r="H43" s="29">
        <v>0.5</v>
      </c>
      <c r="I43" s="29">
        <v>0.833333333333333</v>
      </c>
      <c r="J43" s="29">
        <v>0.332638888888889</v>
      </c>
      <c r="L43" s="31">
        <f t="shared" si="9"/>
        <v>7.98333333333333</v>
      </c>
      <c r="M43" s="19">
        <f t="shared" si="10"/>
        <v>7.98333333333333</v>
      </c>
      <c r="N43" s="20">
        <f t="shared" si="11"/>
        <v>7.98333333333333</v>
      </c>
      <c r="O43" s="34"/>
      <c r="P43" s="34"/>
    </row>
    <row r="44" s="17" customFormat="1" spans="1:16">
      <c r="A44" s="23">
        <v>2025100903</v>
      </c>
      <c r="B44" s="23" t="s">
        <v>32</v>
      </c>
      <c r="C44" s="23" t="s">
        <v>31</v>
      </c>
      <c r="D44" s="23" t="s">
        <v>31</v>
      </c>
      <c r="E44" s="23" t="s">
        <v>63</v>
      </c>
      <c r="F44" s="23" t="s">
        <v>9</v>
      </c>
      <c r="G44" s="23" t="s">
        <v>68</v>
      </c>
      <c r="H44" s="29">
        <v>0.504166666666667</v>
      </c>
      <c r="I44" s="29">
        <v>0.802083333333333</v>
      </c>
      <c r="J44" s="29">
        <v>0.297222222222222</v>
      </c>
      <c r="L44" s="31">
        <f t="shared" si="9"/>
        <v>7.13333333333333</v>
      </c>
      <c r="M44" s="19">
        <f t="shared" si="10"/>
        <v>7.13333333333333</v>
      </c>
      <c r="N44" s="20">
        <f t="shared" si="11"/>
        <v>7.13333333333333</v>
      </c>
      <c r="O44" s="34"/>
      <c r="P44" s="34"/>
    </row>
    <row r="45" s="17" customFormat="1" spans="1:16">
      <c r="A45" s="23">
        <v>2105105606</v>
      </c>
      <c r="B45" s="23" t="s">
        <v>30</v>
      </c>
      <c r="C45" s="23" t="s">
        <v>29</v>
      </c>
      <c r="D45" s="23" t="s">
        <v>28</v>
      </c>
      <c r="E45" s="23" t="s">
        <v>63</v>
      </c>
      <c r="F45" s="23" t="s">
        <v>9</v>
      </c>
      <c r="G45" s="23" t="s">
        <v>68</v>
      </c>
      <c r="H45" s="29">
        <v>0.513194444444444</v>
      </c>
      <c r="I45" s="29">
        <v>0.631944444444444</v>
      </c>
      <c r="J45" s="29">
        <v>0.118055555555556</v>
      </c>
      <c r="L45" s="31">
        <f t="shared" si="9"/>
        <v>2.83333333333333</v>
      </c>
      <c r="M45" s="19">
        <f t="shared" si="10"/>
        <v>2.83333333333333</v>
      </c>
      <c r="N45" s="20">
        <f t="shared" si="11"/>
        <v>2.83333333333333</v>
      </c>
      <c r="O45" s="34"/>
      <c r="P45" s="34"/>
    </row>
    <row r="46" s="17" customFormat="1" spans="1:16">
      <c r="A46" s="23">
        <v>2105161402</v>
      </c>
      <c r="B46" s="23" t="s">
        <v>45</v>
      </c>
      <c r="C46" s="23" t="s">
        <v>23</v>
      </c>
      <c r="D46" s="23" t="s">
        <v>44</v>
      </c>
      <c r="E46" s="23" t="s">
        <v>63</v>
      </c>
      <c r="F46" s="23" t="s">
        <v>9</v>
      </c>
      <c r="G46" s="23" t="s">
        <v>68</v>
      </c>
      <c r="H46" s="29">
        <v>0.482638888888889</v>
      </c>
      <c r="I46" s="29">
        <v>0.799305555555556</v>
      </c>
      <c r="J46" s="29">
        <v>0.316666666666667</v>
      </c>
      <c r="L46" s="31">
        <f t="shared" si="9"/>
        <v>7.6</v>
      </c>
      <c r="M46" s="19">
        <f t="shared" si="10"/>
        <v>7.6</v>
      </c>
      <c r="N46" s="20">
        <f t="shared" si="11"/>
        <v>7.6</v>
      </c>
      <c r="O46" s="34"/>
      <c r="P46" s="34"/>
    </row>
    <row r="47" s="17" customFormat="1" spans="1:16">
      <c r="A47" s="23">
        <v>2105315602</v>
      </c>
      <c r="B47" s="23" t="s">
        <v>42</v>
      </c>
      <c r="C47" s="23" t="s">
        <v>43</v>
      </c>
      <c r="D47" s="23" t="s">
        <v>42</v>
      </c>
      <c r="E47" s="23" t="s">
        <v>63</v>
      </c>
      <c r="F47" s="23" t="s">
        <v>9</v>
      </c>
      <c r="G47" s="23" t="s">
        <v>68</v>
      </c>
      <c r="H47" s="29">
        <v>0.502083333333333</v>
      </c>
      <c r="I47" s="29">
        <v>0.670138888888889</v>
      </c>
      <c r="J47" s="29">
        <v>0.167361111111111</v>
      </c>
      <c r="L47" s="31">
        <f t="shared" si="9"/>
        <v>4.01666666666667</v>
      </c>
      <c r="M47" s="19">
        <f t="shared" si="10"/>
        <v>4.01666666666667</v>
      </c>
      <c r="N47" s="20">
        <f t="shared" si="11"/>
        <v>4.01666666666667</v>
      </c>
      <c r="O47" s="34"/>
      <c r="P47" s="34"/>
    </row>
    <row r="48" s="17" customFormat="1" spans="1:16">
      <c r="A48" s="23"/>
      <c r="B48" s="23" t="s">
        <v>35</v>
      </c>
      <c r="C48" s="23" t="s">
        <v>35</v>
      </c>
      <c r="D48" s="23" t="s">
        <v>35</v>
      </c>
      <c r="E48" s="23" t="s">
        <v>63</v>
      </c>
      <c r="F48" s="23" t="s">
        <v>9</v>
      </c>
      <c r="G48" s="23" t="s">
        <v>68</v>
      </c>
      <c r="H48" s="29">
        <v>0.5</v>
      </c>
      <c r="I48" s="29">
        <v>0.722222222222222</v>
      </c>
      <c r="J48" s="29">
        <v>0.222222222222222</v>
      </c>
      <c r="L48" s="31">
        <f>HOUR($J48)+MINUTE($J48)/60</f>
        <v>5.33333333333333</v>
      </c>
      <c r="M48" s="19">
        <f>$L48-$K48</f>
        <v>5.33333333333333</v>
      </c>
      <c r="N48" s="20">
        <f>M48</f>
        <v>5.33333333333333</v>
      </c>
      <c r="O48" s="34"/>
      <c r="P48" s="34"/>
    </row>
    <row r="49" s="17" customFormat="1" spans="1:16">
      <c r="A49" s="23"/>
      <c r="B49" s="23" t="s">
        <v>36</v>
      </c>
      <c r="C49" s="23" t="s">
        <v>36</v>
      </c>
      <c r="D49" s="23" t="s">
        <v>36</v>
      </c>
      <c r="E49" s="23" t="s">
        <v>63</v>
      </c>
      <c r="F49" s="23" t="s">
        <v>9</v>
      </c>
      <c r="G49" s="23" t="s">
        <v>68</v>
      </c>
      <c r="H49" s="29">
        <v>0.5</v>
      </c>
      <c r="I49" s="29">
        <v>0.767361111111111</v>
      </c>
      <c r="J49" s="29">
        <v>0.267361111111111</v>
      </c>
      <c r="L49" s="31">
        <f>HOUR($J49)+MINUTE($J49)/60</f>
        <v>6.41666666666667</v>
      </c>
      <c r="M49" s="19">
        <f>$L49-$K49</f>
        <v>6.41666666666667</v>
      </c>
      <c r="N49" s="20">
        <f>M49</f>
        <v>6.41666666666667</v>
      </c>
      <c r="O49" s="34"/>
      <c r="P49" s="34"/>
    </row>
    <row r="50" s="17" customFormat="1" spans="1:16">
      <c r="A50" s="23"/>
      <c r="B50" s="23" t="s">
        <v>37</v>
      </c>
      <c r="C50" s="23" t="s">
        <v>37</v>
      </c>
      <c r="D50" s="23" t="s">
        <v>37</v>
      </c>
      <c r="E50" s="23" t="s">
        <v>63</v>
      </c>
      <c r="F50" s="23" t="s">
        <v>9</v>
      </c>
      <c r="G50" s="23" t="s">
        <v>68</v>
      </c>
      <c r="H50" s="29">
        <v>0.5</v>
      </c>
      <c r="I50" s="29">
        <v>0.767361111111111</v>
      </c>
      <c r="J50" s="29">
        <v>0.267361111111111</v>
      </c>
      <c r="L50" s="31">
        <f>HOUR($J50)+MINUTE($J50)/60</f>
        <v>6.41666666666667</v>
      </c>
      <c r="M50" s="19">
        <f>$L50-$K50</f>
        <v>6.41666666666667</v>
      </c>
      <c r="N50" s="20">
        <f>M50</f>
        <v>6.41666666666667</v>
      </c>
      <c r="O50" s="34"/>
      <c r="P50" s="34"/>
    </row>
    <row r="51" s="17" customFormat="1" spans="1:16">
      <c r="A51" s="23"/>
      <c r="B51" s="23"/>
      <c r="C51" s="23"/>
      <c r="D51" s="23"/>
      <c r="E51" s="23"/>
      <c r="F51" s="23"/>
      <c r="G51" s="23"/>
      <c r="H51" s="29"/>
      <c r="I51" s="29"/>
      <c r="J51" s="29"/>
      <c r="L51" s="31"/>
      <c r="M51" s="19"/>
      <c r="N51" s="20"/>
      <c r="O51" s="34"/>
      <c r="P51" s="34"/>
    </row>
    <row r="52" s="17" customFormat="1" spans="1:16">
      <c r="A52" s="23"/>
      <c r="B52" s="23"/>
      <c r="C52" s="23"/>
      <c r="D52" s="23"/>
      <c r="E52" s="23"/>
      <c r="F52" s="23"/>
      <c r="G52" s="23"/>
      <c r="H52" s="29"/>
      <c r="I52" s="29"/>
      <c r="J52" s="29"/>
      <c r="L52" s="31"/>
      <c r="M52" s="19"/>
      <c r="N52" s="20"/>
      <c r="O52" s="34"/>
      <c r="P52" s="34"/>
    </row>
    <row r="53" s="17" customFormat="1" spans="1:16">
      <c r="A53" s="23"/>
      <c r="B53" s="23"/>
      <c r="C53" s="23"/>
      <c r="D53" s="23"/>
      <c r="E53" s="23"/>
      <c r="F53" s="23"/>
      <c r="G53" s="23"/>
      <c r="H53" s="29"/>
      <c r="I53" s="29"/>
      <c r="J53" s="29"/>
      <c r="L53" s="31"/>
      <c r="M53" s="19"/>
      <c r="N53" s="20"/>
      <c r="O53" s="34"/>
      <c r="P53" s="34"/>
    </row>
    <row r="54" s="17" customFormat="1" spans="1:16">
      <c r="A54" s="23"/>
      <c r="B54" s="23"/>
      <c r="C54" s="23"/>
      <c r="D54" s="23"/>
      <c r="E54" s="23"/>
      <c r="F54" s="23"/>
      <c r="G54" s="23"/>
      <c r="H54" s="29"/>
      <c r="I54" s="29"/>
      <c r="J54" s="29"/>
      <c r="L54" s="31"/>
      <c r="M54" s="19"/>
      <c r="N54" s="20"/>
      <c r="O54" s="34"/>
      <c r="P54" s="34"/>
    </row>
    <row r="55" s="17" customFormat="1" spans="1:16">
      <c r="A55" s="23"/>
      <c r="B55" s="23"/>
      <c r="C55" s="23"/>
      <c r="D55" s="23"/>
      <c r="E55" s="23"/>
      <c r="F55" s="23"/>
      <c r="G55" s="23"/>
      <c r="H55" s="29"/>
      <c r="I55" s="29"/>
      <c r="J55" s="29"/>
      <c r="L55" s="31"/>
      <c r="M55" s="19"/>
      <c r="N55" s="20"/>
      <c r="O55" s="34"/>
      <c r="P55" s="34"/>
    </row>
    <row r="56" s="17" customFormat="1" spans="1:16">
      <c r="A56" s="23"/>
      <c r="B56" s="23"/>
      <c r="C56" s="23"/>
      <c r="D56" s="23"/>
      <c r="E56" s="23"/>
      <c r="F56" s="23"/>
      <c r="G56" s="23"/>
      <c r="H56" s="29"/>
      <c r="I56" s="29"/>
      <c r="J56" s="29"/>
      <c r="L56" s="31"/>
      <c r="M56" s="19"/>
      <c r="N56" s="20"/>
      <c r="O56" s="34"/>
      <c r="P56" s="34"/>
    </row>
    <row r="57" spans="8:16">
      <c r="H57" s="30"/>
      <c r="I57" s="30"/>
      <c r="J57" s="30"/>
      <c r="L57" s="31"/>
      <c r="M57" s="20"/>
      <c r="O57" s="34"/>
      <c r="P57" s="34"/>
    </row>
    <row r="58" spans="8:16">
      <c r="H58" s="30"/>
      <c r="I58" s="30"/>
      <c r="J58" s="30"/>
      <c r="L58" s="31"/>
      <c r="M58" s="20"/>
      <c r="O58" s="34"/>
      <c r="P58" s="34"/>
    </row>
    <row r="59" spans="8:16">
      <c r="H59" s="30"/>
      <c r="I59" s="30"/>
      <c r="J59" s="30"/>
      <c r="L59" s="31"/>
      <c r="M59" s="20"/>
      <c r="P59" s="34"/>
    </row>
    <row r="60" spans="8:16">
      <c r="H60" s="30"/>
      <c r="I60" s="30"/>
      <c r="J60" s="30"/>
      <c r="L60" s="31"/>
      <c r="M60" s="20"/>
      <c r="P60" s="34"/>
    </row>
    <row r="61" spans="8:16">
      <c r="H61" s="30"/>
      <c r="I61" s="30"/>
      <c r="J61" s="30"/>
      <c r="L61" s="31"/>
      <c r="M61" s="20"/>
      <c r="P61" s="34"/>
    </row>
    <row r="62" spans="8:16">
      <c r="H62" s="30"/>
      <c r="I62" s="30"/>
      <c r="J62" s="30"/>
      <c r="L62" s="31"/>
      <c r="M62" s="20"/>
      <c r="P62" s="34"/>
    </row>
    <row r="63" spans="1:13">
      <c r="A63" s="24"/>
      <c r="B63" s="25"/>
      <c r="C63" s="25"/>
      <c r="D63" s="25"/>
      <c r="M63" s="20"/>
    </row>
    <row r="64" spans="1:13">
      <c r="A64" s="25"/>
      <c r="B64" s="25"/>
      <c r="C64" s="25"/>
      <c r="D64" s="25"/>
      <c r="M64" s="20"/>
    </row>
    <row r="65" spans="1:13">
      <c r="A65" s="25"/>
      <c r="B65" s="25"/>
      <c r="C65" s="25"/>
      <c r="D65" s="25"/>
      <c r="M65" s="20"/>
    </row>
    <row r="66" spans="13:13">
      <c r="M66" s="20"/>
    </row>
    <row r="67" spans="13:13">
      <c r="M67" s="20"/>
    </row>
    <row r="68" spans="13:13">
      <c r="M68" s="20"/>
    </row>
    <row r="69" spans="13:13">
      <c r="M69" s="20"/>
    </row>
    <row r="70" spans="13:13">
      <c r="M70" s="20"/>
    </row>
    <row r="71" spans="13:13">
      <c r="M71" s="20"/>
    </row>
    <row r="72" spans="13:13">
      <c r="M72" s="20"/>
    </row>
    <row r="73" spans="13:13">
      <c r="M73" s="20"/>
    </row>
    <row r="74" spans="13:13">
      <c r="M74" s="20"/>
    </row>
    <row r="75" spans="13:13">
      <c r="M75" s="20"/>
    </row>
    <row r="76" spans="13:13">
      <c r="M76" s="20"/>
    </row>
    <row r="77" spans="13:13">
      <c r="M77" s="20"/>
    </row>
    <row r="78" spans="13:13">
      <c r="M78" s="20"/>
    </row>
    <row r="79" spans="13:13">
      <c r="M79" s="20"/>
    </row>
    <row r="80" spans="13:13">
      <c r="M80" s="20"/>
    </row>
    <row r="81" spans="13:13">
      <c r="M81" s="20"/>
    </row>
  </sheetData>
  <autoFilter xmlns:etc="http://www.wps.cn/officeDocument/2017/etCustomData" ref="A1:D67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H14" sqref="H14"/>
    </sheetView>
  </sheetViews>
  <sheetFormatPr defaultColWidth="9" defaultRowHeight="16.8" outlineLevelRow="7" outlineLevelCol="3"/>
  <cols>
    <col min="2" max="3" width="12.3303571428571" customWidth="1"/>
    <col min="4" max="4" width="14.3303571428571" customWidth="1"/>
  </cols>
  <sheetData>
    <row r="1" spans="1:4">
      <c r="A1" s="4" t="s">
        <v>53</v>
      </c>
      <c r="B1" s="4" t="s">
        <v>69</v>
      </c>
      <c r="C1" s="4" t="s">
        <v>70</v>
      </c>
      <c r="D1" s="4" t="s">
        <v>71</v>
      </c>
    </row>
    <row r="2" spans="1:4">
      <c r="A2" s="4" t="s">
        <v>64</v>
      </c>
      <c r="B2" s="4"/>
      <c r="C2" s="4"/>
      <c r="D2" s="4"/>
    </row>
    <row r="3" spans="1:4">
      <c r="A3" s="4" t="s">
        <v>72</v>
      </c>
      <c r="B3" s="4"/>
      <c r="C3" s="4"/>
      <c r="D3" s="4"/>
    </row>
    <row r="4" spans="1:4">
      <c r="A4" s="4" t="s">
        <v>66</v>
      </c>
      <c r="B4" s="4"/>
      <c r="C4" s="4"/>
      <c r="D4" s="4"/>
    </row>
    <row r="5" spans="1:4">
      <c r="A5" s="4" t="s">
        <v>67</v>
      </c>
      <c r="B5" s="4"/>
      <c r="C5" s="4"/>
      <c r="D5" s="4"/>
    </row>
    <row r="6" spans="1:4">
      <c r="A6" s="4" t="s">
        <v>73</v>
      </c>
      <c r="B6" s="4"/>
      <c r="C6" s="4"/>
      <c r="D6" s="4"/>
    </row>
    <row r="7" spans="1:4">
      <c r="A7" s="4" t="s">
        <v>68</v>
      </c>
      <c r="B7" s="4"/>
      <c r="C7" s="4"/>
      <c r="D7" s="4"/>
    </row>
    <row r="8" spans="1:4">
      <c r="A8" s="4" t="s">
        <v>74</v>
      </c>
      <c r="B8" s="4"/>
      <c r="C8" s="4"/>
      <c r="D8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32" sqref="B32"/>
    </sheetView>
  </sheetViews>
  <sheetFormatPr defaultColWidth="9" defaultRowHeight="16.8"/>
  <cols>
    <col min="1" max="1" width="12.8303571428571" customWidth="1"/>
    <col min="2" max="2" width="13.8303571428571" customWidth="1"/>
    <col min="3" max="3" width="15.8303571428571" customWidth="1"/>
    <col min="4" max="4" width="11.8303571428571" customWidth="1"/>
    <col min="5" max="5" width="13.8303571428571" customWidth="1"/>
  </cols>
  <sheetData>
    <row r="1" spans="1:10">
      <c r="A1" s="1"/>
      <c r="B1" s="2" t="s">
        <v>75</v>
      </c>
      <c r="C1" s="2"/>
      <c r="D1" s="3"/>
      <c r="E1" s="10" t="s">
        <v>76</v>
      </c>
      <c r="F1" s="11"/>
      <c r="G1" s="12"/>
      <c r="H1" s="10" t="s">
        <v>77</v>
      </c>
      <c r="I1" s="11"/>
      <c r="J1" s="12"/>
    </row>
    <row r="2" spans="1:10">
      <c r="A2" s="4"/>
      <c r="B2" s="4" t="s">
        <v>78</v>
      </c>
      <c r="C2" s="5" t="s">
        <v>79</v>
      </c>
      <c r="D2" s="6" t="s">
        <v>80</v>
      </c>
      <c r="E2" s="13" t="s">
        <v>78</v>
      </c>
      <c r="F2" s="5" t="s">
        <v>79</v>
      </c>
      <c r="G2" s="6" t="s">
        <v>80</v>
      </c>
      <c r="H2" s="13" t="s">
        <v>78</v>
      </c>
      <c r="I2" s="5" t="s">
        <v>79</v>
      </c>
      <c r="J2" s="6" t="s">
        <v>80</v>
      </c>
    </row>
    <row r="3" ht="17" spans="1:10">
      <c r="A3" s="7" t="s">
        <v>81</v>
      </c>
      <c r="B3" s="4">
        <v>31.98</v>
      </c>
      <c r="C3" s="4">
        <v>34.44</v>
      </c>
      <c r="D3" s="6">
        <v>36.9</v>
      </c>
      <c r="E3" s="13">
        <f>B3*1.25</f>
        <v>39.975</v>
      </c>
      <c r="F3" s="13">
        <f t="shared" ref="F3:G3" si="0">C3*1.25</f>
        <v>43.05</v>
      </c>
      <c r="G3" s="13">
        <f t="shared" si="0"/>
        <v>46.125</v>
      </c>
      <c r="H3" s="13">
        <v>79.95</v>
      </c>
      <c r="I3" s="4">
        <v>86.1</v>
      </c>
      <c r="J3" s="6">
        <v>92.25</v>
      </c>
    </row>
    <row r="4" spans="1:10">
      <c r="A4" s="8" t="s">
        <v>82</v>
      </c>
      <c r="B4" s="4" t="s">
        <v>83</v>
      </c>
      <c r="C4" s="4" t="s">
        <v>84</v>
      </c>
      <c r="D4" s="6" t="s">
        <v>85</v>
      </c>
      <c r="E4" s="13" t="s">
        <v>86</v>
      </c>
      <c r="F4" s="4" t="s">
        <v>87</v>
      </c>
      <c r="G4" s="6" t="s">
        <v>88</v>
      </c>
      <c r="H4" s="13"/>
      <c r="I4" s="4"/>
      <c r="J4" s="6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3:3">
      <c r="C12" s="9"/>
    </row>
  </sheetData>
  <mergeCells count="3">
    <mergeCell ref="B1:D1"/>
    <mergeCell ref="E1:G1"/>
    <mergeCell ref="H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ADL-出勤记录-20251103-202511009</vt:lpstr>
      <vt:lpstr>人效</vt:lpstr>
      <vt:lpstr>计费规则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喆大仙</dc:creator>
  <cp:lastModifiedBy>WPS_1554116391</cp:lastModifiedBy>
  <dcterms:created xsi:type="dcterms:W3CDTF">2025-06-25T18:26:00Z</dcterms:created>
  <dcterms:modified xsi:type="dcterms:W3CDTF">2025-11-17T07:46:53Z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ADE30530B83A491A507512695CF62995_43</vt:lpwstr>
  </property>
  <property fmtid="{D5CDD505-2E9C-101B-9397-08002B2CF9AE}" pid="3" name="KSOProductBuildVer">
    <vt:lpwstr>2052-7.4.1.8983</vt:lpwstr>
  </property>
</Properties>
</file>