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 firstSheet="2" activeTab="1"/>
  </bookViews>
  <sheets>
    <sheet name="Sheet2" sheetId="16" r:id="rId1"/>
    <sheet name="ADL-出勤记录-20251020-20251026" sheetId="1" r:id="rId2"/>
    <sheet name="人效" sheetId="6" r:id="rId3"/>
    <sheet name="计费规则" sheetId="4" r:id="rId4"/>
  </sheets>
  <definedNames>
    <definedName name="_xlnm._FilterDatabase" localSheetId="1" hidden="1">'ADL-出勤记录-20251020-20251026'!$A$1:$D$76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<sst xmlns="http://schemas.openxmlformats.org/spreadsheetml/2006/main" count="463" uniqueCount="112">
  <si>
    <t>昵称</t>
  </si>
  <si>
    <t>日期</t>
  </si>
  <si>
    <t>求和项:当日总时长-十进制</t>
  </si>
  <si>
    <t>求和项:价格(AUD)</t>
  </si>
  <si>
    <t>Anant</t>
  </si>
  <si>
    <t>21/10/2025</t>
  </si>
  <si>
    <t>23/10/2025</t>
  </si>
  <si>
    <t>Becky</t>
  </si>
  <si>
    <t>25/10/2025</t>
  </si>
  <si>
    <t>Ethan</t>
  </si>
  <si>
    <t>Evan</t>
  </si>
  <si>
    <t>Frank</t>
  </si>
  <si>
    <t>Harley</t>
  </si>
  <si>
    <t>jaffe(补)</t>
  </si>
  <si>
    <t>26/10/2025</t>
  </si>
  <si>
    <t>Jojo</t>
  </si>
  <si>
    <t>Juhi</t>
  </si>
  <si>
    <t>Kevin</t>
  </si>
  <si>
    <t>Kimi</t>
  </si>
  <si>
    <t>20/10/2025</t>
  </si>
  <si>
    <t>22/10/2025</t>
  </si>
  <si>
    <t>Lily</t>
  </si>
  <si>
    <t>Lin</t>
  </si>
  <si>
    <t>miko</t>
  </si>
  <si>
    <t>Nandiniba-friend-female</t>
  </si>
  <si>
    <t>Nanny</t>
  </si>
  <si>
    <t>pan</t>
  </si>
  <si>
    <t>ravi-3</t>
  </si>
  <si>
    <t>ravi-4</t>
  </si>
  <si>
    <t xml:space="preserve">Sapphire </t>
  </si>
  <si>
    <t>Shruti</t>
  </si>
  <si>
    <t>Wayne</t>
  </si>
  <si>
    <t>yan</t>
  </si>
  <si>
    <t>yanxi</t>
  </si>
  <si>
    <t>YP</t>
  </si>
  <si>
    <t>总计</t>
  </si>
  <si>
    <t>人员编号</t>
  </si>
  <si>
    <t>姓名</t>
  </si>
  <si>
    <t>姓氏</t>
  </si>
  <si>
    <t>部门</t>
  </si>
  <si>
    <t>工作日</t>
  </si>
  <si>
    <t>首次打卡</t>
  </si>
  <si>
    <t>最后打卡</t>
  </si>
  <si>
    <t>总时长</t>
  </si>
  <si>
    <t>中途请假时间-十进制</t>
  </si>
  <si>
    <t>总时长-十进制</t>
  </si>
  <si>
    <t>总时长(修订后)-十进制</t>
  </si>
  <si>
    <t>当日总时长-十进制</t>
  </si>
  <si>
    <t>价格每小时</t>
  </si>
  <si>
    <t>价格(AUD)</t>
  </si>
  <si>
    <t>LiNan</t>
  </si>
  <si>
    <t>Yin</t>
  </si>
  <si>
    <t>AUS ADL</t>
  </si>
  <si>
    <t>周一</t>
  </si>
  <si>
    <t>Nandiniba</t>
  </si>
  <si>
    <t>chavda</t>
  </si>
  <si>
    <t>周二</t>
  </si>
  <si>
    <t>Jian</t>
  </si>
  <si>
    <t>Dong</t>
  </si>
  <si>
    <t>YiChi</t>
  </si>
  <si>
    <t>Nien</t>
  </si>
  <si>
    <t>Li</t>
  </si>
  <si>
    <t>Geng</t>
  </si>
  <si>
    <t>Ting</t>
  </si>
  <si>
    <t>Man</t>
  </si>
  <si>
    <t>xiaoyan</t>
  </si>
  <si>
    <t>Jiaojiao</t>
  </si>
  <si>
    <t>gao</t>
  </si>
  <si>
    <t>Bhandari</t>
  </si>
  <si>
    <t>jingyao</t>
  </si>
  <si>
    <t>Yash</t>
  </si>
  <si>
    <t>Patel</t>
  </si>
  <si>
    <t>Miftahul Jannat</t>
  </si>
  <si>
    <t>Khatri</t>
  </si>
  <si>
    <t>yufeng</t>
  </si>
  <si>
    <t>zhang</t>
  </si>
  <si>
    <t>Fangzhou</t>
  </si>
  <si>
    <t>周三</t>
  </si>
  <si>
    <t>周四</t>
  </si>
  <si>
    <t>Youwei</t>
  </si>
  <si>
    <t>Wang</t>
  </si>
  <si>
    <t>jaffe</t>
  </si>
  <si>
    <t>周六</t>
  </si>
  <si>
    <t>YiMing</t>
  </si>
  <si>
    <t>He</t>
  </si>
  <si>
    <t>Hei</t>
  </si>
  <si>
    <t>Yihan</t>
  </si>
  <si>
    <t>Ma</t>
  </si>
  <si>
    <t>周天</t>
  </si>
  <si>
    <t>工作日&amp;不分拣的周末</t>
  </si>
  <si>
    <t>分拣的周末</t>
  </si>
  <si>
    <t>公共节假日</t>
  </si>
  <si>
    <t>到件扫描数量</t>
  </si>
  <si>
    <t>仓库预计单量</t>
  </si>
  <si>
    <t>预测工具预测量</t>
  </si>
  <si>
    <t xml:space="preserve">周二 </t>
  </si>
  <si>
    <t>周五</t>
  </si>
  <si>
    <t>周日</t>
  </si>
  <si>
    <t>工作日；周末只开仓提货情况下</t>
  </si>
  <si>
    <t>周末进行分拣情况下</t>
  </si>
  <si>
    <t>节假日</t>
  </si>
  <si>
    <t>第一档</t>
  </si>
  <si>
    <t>第二档</t>
  </si>
  <si>
    <t>第三档</t>
  </si>
  <si>
    <t>每小时价格</t>
  </si>
  <si>
    <t>提单款项编号</t>
  </si>
  <si>
    <t>S012701</t>
  </si>
  <si>
    <t>S012702</t>
  </si>
  <si>
    <t>S012703</t>
  </si>
  <si>
    <t>S012746</t>
  </si>
  <si>
    <t>S012749</t>
  </si>
  <si>
    <t>S012752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</si>
</sst>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0_ "/>
    <numFmt numFmtId="178" formatCode="0.00_ 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10" applyNumberFormat="0" applyAlignment="0" applyProtection="0"/>
    <xf numFmtId="0" fontId="11" fillId="5" borderId="11" applyNumberFormat="0" applyAlignment="0" applyProtection="0"/>
    <xf numFmtId="0" fontId="12" fillId="5" borderId="10" applyNumberFormat="0" applyAlignment="0" applyProtection="0"/>
    <xf numFmtId="0" fontId="13" fillId="6" borderId="12" applyNumberFormat="0" applyAlignment="0" applyProtection="0"/>
    <xf numFmtId="0" fontId="14" fillId="0" borderId="13" applyNumberFormat="0" applyFill="0" applyAlignment="0" applyProtection="0"/>
    <xf numFmtId="0" fontId="1" fillId="0" borderId="14" applyNumberFormat="0" applyFill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8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8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8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8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1">
    <xf numFmtId="0" fontId="0" fillId="0" borderId="0" xfId="0"/>
    <xf numFmtId="176" fontId="0" fillId="0" borderId="0" xfId="1" applyFont="1" applyAlignment="1">
      <alignment vertical="center"/>
    </xf>
    <xf numFmtId="176" fontId="1" fillId="0" borderId="1" xfId="1" applyFont="1" applyBorder="1" applyAlignment="1">
      <alignment horizontal="center" vertical="center"/>
    </xf>
    <xf numFmtId="176" fontId="1" fillId="0" borderId="2" xfId="1" applyFont="1" applyBorder="1" applyAlignment="1">
      <alignment horizontal="center" vertical="center"/>
    </xf>
    <xf numFmtId="0" fontId="0" fillId="0" borderId="1" xfId="0" applyBorder="1"/>
    <xf numFmtId="176" fontId="0" fillId="0" borderId="1" xfId="0" applyNumberFormat="1" applyBorder="1"/>
    <xf numFmtId="0" fontId="0" fillId="0" borderId="2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176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77" fontId="0" fillId="0" borderId="0" xfId="0" applyNumberFormat="1" applyFont="1" applyBorder="1" applyAlignment="1">
      <alignment horizontal="center"/>
    </xf>
    <xf numFmtId="178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/>
    </xf>
    <xf numFmtId="20" fontId="0" fillId="0" borderId="0" xfId="0" applyNumberFormat="1" applyFill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20" fontId="0" fillId="0" borderId="0" xfId="0" applyNumberFormat="1" applyFont="1" applyFill="1" applyBorder="1" applyAlignment="1">
      <alignment horizontal="center" vertical="center"/>
    </xf>
    <xf numFmtId="20" fontId="0" fillId="0" borderId="4" xfId="0" applyNumberFormat="1" applyFont="1" applyFill="1" applyBorder="1" applyAlignment="1">
      <alignment horizontal="center" vertical="center"/>
    </xf>
    <xf numFmtId="20" fontId="0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177" fontId="1" fillId="0" borderId="0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76" fontId="0" fillId="0" borderId="0" xfId="0" applyNumberFormat="1" applyFont="1" applyBorder="1" applyAlignment="1">
      <alignment horizontal="center"/>
    </xf>
    <xf numFmtId="177" fontId="0" fillId="0" borderId="4" xfId="0" applyNumberFormat="1" applyFont="1" applyBorder="1" applyAlignment="1">
      <alignment horizontal="center"/>
    </xf>
    <xf numFmtId="178" fontId="0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176" fontId="0" fillId="0" borderId="4" xfId="0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177" fontId="0" fillId="0" borderId="5" xfId="0" applyNumberFormat="1" applyFont="1" applyBorder="1" applyAlignment="1">
      <alignment horizontal="center"/>
    </xf>
    <xf numFmtId="178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right"/>
    </xf>
    <xf numFmtId="176" fontId="0" fillId="0" borderId="5" xfId="0" applyNumberFormat="1" applyFont="1" applyBorder="1" applyAlignment="1">
      <alignment horizontal="center"/>
    </xf>
    <xf numFmtId="0" fontId="0" fillId="0" borderId="4" xfId="0" applyFont="1" applyBorder="1" applyAlignment="1">
      <alignment horizontal="right"/>
    </xf>
    <xf numFmtId="176" fontId="0" fillId="0" borderId="0" xfId="0" applyNumberFormat="1" applyFont="1" applyBorder="1" applyAlignment="1">
      <alignment horizontal="right"/>
    </xf>
    <xf numFmtId="178" fontId="0" fillId="0" borderId="0" xfId="0" applyNumberFormat="1" applyFont="1" applyBorder="1" applyAlignment="1">
      <alignment horizontal="right"/>
    </xf>
    <xf numFmtId="178" fontId="0" fillId="0" borderId="0" xfId="0" applyNumberFormat="1" applyFont="1" applyBorder="1" applyAlignment="1">
      <alignment horizontal="right"/>
    </xf>
    <xf numFmtId="178" fontId="0" fillId="0" borderId="4" xfId="0" applyNumberFormat="1" applyFont="1" applyBorder="1" applyAlignment="1">
      <alignment horizontal="right"/>
    </xf>
    <xf numFmtId="0" fontId="0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center"/>
    </xf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4.4304398148" refreshedBy="likili" recordCount="54">
  <cacheSource type="worksheet">
    <worksheetSource ref="A1:P56" sheet="ADL-出勤记录-20251020-20251026"/>
  </cacheSource>
  <cacheFields count="16">
    <cacheField name="人员编号" numFmtId="0">
      <sharedItems containsString="0" containsBlank="1" containsNumber="1" containsInteger="1" minValue="15113735" maxValue="2105161404" count="20">
        <n v="15113735"/>
        <n v="2105105606"/>
        <n v="15197673"/>
        <n v="15200903"/>
        <n v="2025082101"/>
        <n v="2025082102"/>
        <n v="2025082201"/>
        <n v="2025082702"/>
        <n v="2025100902"/>
        <n v="2025100903"/>
        <n v="2105105603"/>
        <n v="2105105607"/>
        <m/>
        <n v="2105105605"/>
        <n v="2105161402"/>
        <n v="2105161403"/>
        <n v="2105161404"/>
        <n v="20250809"/>
        <n v="2025082701"/>
        <n v="2105105604"/>
      </sharedItems>
    </cacheField>
    <cacheField name="姓名" numFmtId="0">
      <sharedItems count="25">
        <s v="LiNan"/>
        <s v="Nandiniba"/>
        <s v="Jian"/>
        <s v="YiChi"/>
        <s v="Li"/>
        <s v="Ting"/>
        <s v="xiaoyan"/>
        <s v="Jiaojiao"/>
        <s v="Shruti"/>
        <s v="jingyao"/>
        <s v="Yash"/>
        <s v="Miftahul Jannat"/>
        <s v="Anant"/>
        <s v="Nandiniba-friend-female"/>
        <s v="yufeng"/>
        <s v="yanxi"/>
        <s v="Fangzhou"/>
        <s v="ravi-4"/>
        <s v="Youwei"/>
        <s v="ravi-3"/>
        <s v="YiMing"/>
        <s v="Yihan"/>
        <s v="Becky"/>
        <s v="Sapphire "/>
        <s v="jaffe(补)"/>
      </sharedItems>
    </cacheField>
    <cacheField name="姓氏" numFmtId="0">
      <sharedItems count="26">
        <s v="Yin"/>
        <s v="chavda"/>
        <s v="Dong"/>
        <s v="Nien"/>
        <s v="Geng"/>
        <s v="Man"/>
        <s v="yan"/>
        <s v="gao"/>
        <s v="Bhandari"/>
        <s v="pan"/>
        <s v="Patel"/>
        <s v="Juhi"/>
        <s v="Khatri"/>
        <s v="Nandiniba-friend-female"/>
        <s v="zhang"/>
        <s v="yanxi"/>
        <s v="Li"/>
        <s v="ravi-4"/>
        <s v="Wang"/>
        <s v="ravi-3"/>
        <s v="He"/>
        <s v="Hei"/>
        <s v="Ma"/>
        <s v="Becky"/>
        <s v="Sapphire "/>
        <s v="jaffe(补)"/>
      </sharedItems>
    </cacheField>
    <cacheField name="昵称" numFmtId="0">
      <sharedItems count="25">
        <s v="Kimi"/>
        <s v="Nanny"/>
        <s v="Evan"/>
        <s v="Ethan"/>
        <s v="Lily"/>
        <s v="Harley"/>
        <s v="yan"/>
        <s v="Jojo"/>
        <s v="Shruti"/>
        <s v="pan"/>
        <s v="YP"/>
        <s v="Juhi"/>
        <s v="Anant"/>
        <s v="Nandiniba-friend-female"/>
        <s v="Kevin"/>
        <s v="yanxi"/>
        <s v="Wayne"/>
        <s v="ravi-4"/>
        <s v="Frank"/>
        <s v="ravi-3"/>
        <s v="Lin"/>
        <s v="miko"/>
        <s v="Becky"/>
        <s v="Sapphire "/>
        <s v="jaffe(补)"/>
      </sharedItems>
    </cacheField>
    <cacheField name="部门" numFmtId="0">
      <sharedItems count="1">
        <s v="AUS ADL"/>
      </sharedItems>
    </cacheField>
    <cacheField name="日期" numFmtId="0">
      <sharedItems count="6">
        <s v="20/10/2025"/>
        <s v="21/10/2025"/>
        <s v="22/10/2025"/>
        <s v="23/10/2025"/>
        <s v="25/10/2025"/>
        <s v="26/10/2025"/>
      </sharedItems>
    </cacheField>
    <cacheField name="工作日" numFmtId="0">
      <sharedItems count="6">
        <s v="周一"/>
        <s v="周二"/>
        <s v="周三"/>
        <s v="周四"/>
        <s v="周六"/>
        <s v="周天"/>
      </sharedItems>
    </cacheField>
    <cacheField name="首次打卡" numFmtId="20">
      <sharedItems containsString="0" containsBlank="1" containsNonDate="0" containsDate="1" minDate="1899-12-30T06:59:00" maxDate="1899-12-30T14:40:00" count="39">
        <d v="1899-12-30T07:54:00"/>
        <d v="1899-12-30T10:15:00"/>
        <d v="1899-12-30T07:55:00"/>
        <d v="1899-12-30T09:07:00"/>
        <d v="1899-12-30T08:14:00"/>
        <d v="1899-12-30T08:44:00"/>
        <d v="1899-12-30T08:37:00"/>
        <d v="1899-12-30T08:45:00"/>
        <d v="1899-12-30T09:45:00"/>
        <d v="1899-12-30T08:30:00"/>
        <d v="1899-12-30T09:30:00"/>
        <d v="1899-12-30T14:40:00"/>
        <d v="1899-12-30T08:49:00"/>
        <d v="1899-12-30T11:00:00"/>
        <d v="1899-12-30T09:00:00"/>
        <d v="1899-12-30T07:58:00"/>
        <d v="1899-12-30T08:05:00"/>
        <d v="1899-12-30T11:09:00"/>
        <d v="1899-12-30T11:05:00"/>
        <d v="1899-12-30T11:10:00"/>
        <d v="1899-12-30T11:01:00"/>
        <d v="1899-12-30T10:55:00"/>
        <d v="1899-12-30T11:06:00"/>
        <d v="1899-12-30T11:16:00"/>
        <d v="1899-12-30T11:02:00"/>
        <d v="1899-12-30T11:04:00"/>
        <d v="1899-12-30T11:15:00"/>
        <d v="1899-12-30T08:02:00"/>
        <d v="1899-12-30T08:03:00"/>
        <d v="1899-12-30T07:59:00"/>
        <d v="1899-12-30T07:56:00"/>
        <d v="1899-12-30T08:27:00"/>
        <d v="1899-12-30T08:00:00"/>
        <d v="1899-12-30T08:07:00"/>
        <d v="1899-12-30T08:13:00"/>
        <d v="1899-12-30T12:00:00"/>
        <d v="1899-12-30T06:59:00"/>
        <d v="1899-12-30T07:00:00"/>
        <m/>
      </sharedItems>
    </cacheField>
    <cacheField name="最后打卡" numFmtId="20">
      <sharedItems containsString="0" containsBlank="1" containsNonDate="0" containsDate="1" minDate="1899-12-30T12:00:00" maxDate="1899-12-30T19:41:00" count="34">
        <d v="1899-12-30T13:15:00"/>
        <d v="1899-12-30T13:29:00"/>
        <d v="1899-12-30T18:15:00"/>
        <d v="1899-12-30T17:03:00"/>
        <d v="1899-12-30T19:07:00"/>
        <d v="1899-12-30T16:59:00"/>
        <d v="1899-12-30T17:00:00"/>
        <d v="1899-12-30T17:05:00"/>
        <d v="1899-12-30T16:58:00"/>
        <d v="1899-12-30T16:09:00"/>
        <d v="1899-12-30T16:30:00"/>
        <d v="1899-12-30T17:01:00"/>
        <d v="1899-12-30T12:00:00"/>
        <d v="1899-12-30T16:00:00"/>
        <d v="1899-12-30T18:00:00"/>
        <d v="1899-12-30T13:52:00"/>
        <d v="1899-12-30T18:05:00"/>
        <d v="1899-12-30T19:20:00"/>
        <d v="1899-12-30T17:14:00"/>
        <d v="1899-12-30T17:13:00"/>
        <d v="1899-12-30T17:12:00"/>
        <d v="1899-12-30T16:04:00"/>
        <d v="1899-12-30T13:40:00"/>
        <d v="1899-12-30T16:47:00"/>
        <d v="1899-12-30T16:39:00"/>
        <d v="1899-12-30T16:45:00"/>
        <d v="1899-12-30T19:41:00"/>
        <d v="1899-12-30T16:35:00"/>
        <d v="1899-12-30T16:43:00"/>
        <d v="1899-12-30T16:12:00"/>
        <d v="1899-12-30T16:41:00"/>
        <d v="1899-12-30T16:42:00"/>
        <d v="1899-12-30T13:51:00"/>
        <m/>
      </sharedItems>
    </cacheField>
    <cacheField name="总时长" numFmtId="20">
      <sharedItems containsString="0" containsBlank="1" containsNonDate="0" containsDate="1" minDate="1899-12-30T01:29:00" maxDate="1899-12-30T11:41:00" count="45">
        <d v="1899-12-30T05:20:00"/>
        <d v="1899-12-30T03:13:00"/>
        <d v="1899-12-30T10:19:00"/>
        <d v="1899-12-30T07:56:00"/>
        <d v="1899-12-30T10:52:00"/>
        <d v="1899-12-30T08:14:00"/>
        <d v="1899-12-30T08:22:00"/>
        <d v="1899-12-30T07:19:00"/>
        <d v="1899-12-30T08:28:00"/>
        <d v="1899-12-30T07:28:00"/>
        <d v="1899-12-30T01:29:00"/>
        <d v="1899-12-30T07:41:00"/>
        <d v="1899-12-30T06:01:00"/>
        <d v="1899-12-30T03:00:00"/>
        <d v="1899-12-30T03:30:00"/>
        <d v="1899-12-30T07:30:00"/>
        <d v="1899-12-30T10:05:00"/>
        <d v="1899-12-30T05:53:00"/>
        <d v="1899-12-30T10:09:00"/>
        <d v="1899-12-30T11:14:00"/>
        <d v="1899-12-30T06:05:00"/>
        <d v="1899-12-30T06:09:00"/>
        <d v="1899-12-30T06:04:00"/>
        <d v="1899-12-30T06:12:00"/>
        <d v="1899-12-30T06:17:00"/>
        <d v="1899-12-30T09:16:00"/>
        <d v="1899-12-30T05:42:00"/>
        <d v="1899-12-30T06:10:00"/>
        <d v="1899-12-30T06:08:00"/>
        <d v="1899-12-30T04:48:00"/>
        <d v="1899-12-30T02:40:00"/>
        <d v="1899-12-30T08:52:00"/>
        <d v="1899-12-30T08:36:00"/>
        <d v="1899-12-30T08:41:00"/>
        <d v="1899-12-30T11:41:00"/>
        <d v="1899-12-30T08:47:00"/>
        <d v="1899-12-30T07:44:00"/>
        <d v="1899-12-30T08:32:00"/>
        <d v="1899-12-30T08:26:00"/>
        <d v="1899-12-30T08:40:00"/>
        <d v="1899-12-30T08:43:00"/>
        <d v="1899-12-30T04:00:00"/>
        <d v="1899-12-30T06:53:00"/>
        <d v="1899-12-30T06:50:00"/>
        <m/>
      </sharedItems>
    </cacheField>
    <cacheField name="中途请假时间-十进制" numFmtId="0">
      <sharedItems containsString="0" containsBlank="1" containsNonDate="0" count="1">
        <m/>
      </sharedItems>
    </cacheField>
    <cacheField name="总时长-十进制" numFmtId="2">
      <sharedItems containsSemiMixedTypes="0" containsString="0" containsNumber="1" minValue="1.48333333333333" maxValue="16.83" count="45">
        <n v="5.33333333333333"/>
        <n v="3.21666666666667"/>
        <n v="10.3166666666667"/>
        <n v="7.93333333333333"/>
        <n v="10.8666666666667"/>
        <n v="8.23333333333333"/>
        <n v="8.36666666666667"/>
        <n v="7.31666666666667"/>
        <n v="8.46666666666667"/>
        <n v="7.46666666666667"/>
        <n v="1.48333333333333"/>
        <n v="7.68333333333333"/>
        <n v="6.01666666666667"/>
        <n v="3"/>
        <n v="3.5"/>
        <n v="7.5"/>
        <n v="10.0833333333333"/>
        <n v="5.88333333333333"/>
        <n v="10.15"/>
        <n v="11.2333333333333"/>
        <n v="6.08333333333333"/>
        <n v="6.15"/>
        <n v="6.06666666666667"/>
        <n v="6.2"/>
        <n v="6.28333333333333"/>
        <n v="9.26666666666667"/>
        <n v="5.7"/>
        <n v="6.16666666666667"/>
        <n v="6.13333333333333"/>
        <n v="4.8"/>
        <n v="2.66666666666667"/>
        <n v="8.86666666666667"/>
        <n v="8.6"/>
        <n v="8.68333333333333"/>
        <n v="11.6833333333333"/>
        <n v="8.78333333333333"/>
        <n v="7.73333333333333"/>
        <n v="8.53333333333333"/>
        <n v="8.43333333333333"/>
        <n v="8.66666666666667"/>
        <n v="8.71666666666667"/>
        <n v="4"/>
        <n v="6.88333333333333"/>
        <n v="6.83333333333333"/>
        <n v="16.83"/>
      </sharedItems>
    </cacheField>
    <cacheField name="总时长(修订后)-十进制" numFmtId="0">
      <sharedItems containsSemiMixedTypes="0" containsString="0" containsNumber="1" minValue="1.48333333333333" maxValue="16.83" count="45">
        <n v="5.33333333333333"/>
        <n v="3.21666666666667"/>
        <n v="10.3166666666667"/>
        <n v="7.93333333333333"/>
        <n v="10.8666666666667"/>
        <n v="8.23333333333333"/>
        <n v="8.36666666666667"/>
        <n v="7.31666666666667"/>
        <n v="8.46666666666667"/>
        <n v="7.46666666666667"/>
        <n v="1.48333333333333"/>
        <n v="7.68333333333333"/>
        <n v="6.01666666666667"/>
        <n v="3"/>
        <n v="3.5"/>
        <n v="7.5"/>
        <n v="10.0833333333333"/>
        <n v="5.88333333333333"/>
        <n v="10.15"/>
        <n v="11.2333333333333"/>
        <n v="6.08333333333333"/>
        <n v="6.15"/>
        <n v="6.06666666666667"/>
        <n v="6.2"/>
        <n v="6.28333333333333"/>
        <n v="9.26666666666667"/>
        <n v="5.7"/>
        <n v="6.16666666666667"/>
        <n v="6.13333333333333"/>
        <n v="4.8"/>
        <n v="2.66666666666667"/>
        <n v="8.86666666666667"/>
        <n v="8.6"/>
        <n v="8.68333333333333"/>
        <n v="11.6833333333333"/>
        <n v="8.78333333333333"/>
        <n v="7.73333333333333"/>
        <n v="8.53333333333333"/>
        <n v="8.43333333333333"/>
        <n v="8.66666666666667"/>
        <n v="8.71666666666667"/>
        <n v="4"/>
        <n v="6.88333333333333"/>
        <n v="6.83333333333333"/>
        <n v="16.83"/>
      </sharedItems>
    </cacheField>
    <cacheField name="当日总时长-十进制" numFmtId="178">
      <sharedItems containsSemiMixedTypes="0" containsString="0" containsNumber="1" minValue="1.48333333333333" maxValue="16.83" count="45">
        <n v="5.33333333333333"/>
        <n v="3.21666666666667"/>
        <n v="10.3166666666667"/>
        <n v="7.93333333333333"/>
        <n v="10.8666666666667"/>
        <n v="8.23333333333333"/>
        <n v="8.36666666666667"/>
        <n v="7.31666666666667"/>
        <n v="8.46666666666667"/>
        <n v="7.46666666666667"/>
        <n v="1.48333333333333"/>
        <n v="7.68333333333333"/>
        <n v="6.01666666666667"/>
        <n v="3"/>
        <n v="3.5"/>
        <n v="7.5"/>
        <n v="10.0833333333333"/>
        <n v="5.88333333333333"/>
        <n v="10.15"/>
        <n v="11.2333333333333"/>
        <n v="6.08333333333333"/>
        <n v="6.15"/>
        <n v="6.06666666666667"/>
        <n v="6.2"/>
        <n v="6.28333333333333"/>
        <n v="9.26666666666667"/>
        <n v="5.7"/>
        <n v="6.16666666666667"/>
        <n v="6.13333333333333"/>
        <n v="4.8"/>
        <n v="2.66666666666667"/>
        <n v="8.86666666666667"/>
        <n v="8.6"/>
        <n v="8.68333333333333"/>
        <n v="11.6833333333333"/>
        <n v="8.78333333333333"/>
        <n v="7.73333333333333"/>
        <n v="8.53333333333333"/>
        <n v="8.43333333333333"/>
        <n v="8.66666666666667"/>
        <n v="8.71666666666667"/>
        <n v="4"/>
        <n v="6.88333333333333"/>
        <n v="6.83333333333333"/>
        <n v="16.83"/>
      </sharedItems>
    </cacheField>
    <cacheField name="价格每小时" numFmtId="0">
      <sharedItems containsSemiMixedTypes="0" containsString="0" containsNumber="1" minValue="34.44" maxValue="86.1" count="5">
        <n v="36.9"/>
        <n v="34.44"/>
        <n v="43.05"/>
        <n v="86.1"/>
        <n v="46.125"/>
      </sharedItems>
    </cacheField>
    <cacheField name="价格(AUD)" numFmtId="176">
      <sharedItems containsSemiMixedTypes="0" containsString="0" containsNumber="1" minValue="51.0859999999999" maxValue="579.6252" count="45">
        <n v="196.8"/>
        <n v="110.782"/>
        <n v="380.685000000001"/>
        <n v="273.224"/>
        <n v="400.980000000001"/>
        <n v="283.556"/>
        <n v="288.148"/>
        <n v="251.986"/>
        <n v="291.592"/>
        <n v="257.152"/>
        <n v="51.0859999999999"/>
        <n v="264.614"/>
        <n v="207.214"/>
        <n v="103.32"/>
        <n v="120.54"/>
        <n v="258.3"/>
        <n v="434.0875"/>
        <n v="506.555"/>
        <n v="374.535"/>
        <n v="414.509999999999"/>
        <n v="209.51"/>
        <n v="211.806"/>
        <n v="208.936"/>
        <n v="213.528"/>
        <n v="216.398"/>
        <n v="319.144"/>
        <n v="196.308"/>
        <n v="212.38"/>
        <n v="211.232"/>
        <n v="165.312"/>
        <n v="91.8400000000001"/>
        <n v="408.975"/>
        <n v="370.23"/>
        <n v="373.8175"/>
        <n v="538.893749999998"/>
        <n v="378.1225"/>
        <n v="332.92"/>
        <n v="367.36"/>
        <n v="363.055"/>
        <n v="373.1"/>
        <n v="375.2525"/>
        <n v="172.2"/>
        <n v="237.062"/>
        <n v="252.15"/>
        <n v="579.625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1"/>
    <x v="0"/>
    <x v="1"/>
    <x v="1"/>
    <x v="1"/>
    <x v="1"/>
    <x v="1"/>
  </r>
  <r>
    <x v="0"/>
    <x v="0"/>
    <x v="0"/>
    <x v="0"/>
    <x v="0"/>
    <x v="1"/>
    <x v="1"/>
    <x v="2"/>
    <x v="2"/>
    <x v="2"/>
    <x v="0"/>
    <x v="2"/>
    <x v="2"/>
    <x v="2"/>
    <x v="0"/>
    <x v="2"/>
  </r>
  <r>
    <x v="2"/>
    <x v="2"/>
    <x v="2"/>
    <x v="2"/>
    <x v="0"/>
    <x v="1"/>
    <x v="1"/>
    <x v="3"/>
    <x v="3"/>
    <x v="3"/>
    <x v="0"/>
    <x v="3"/>
    <x v="3"/>
    <x v="3"/>
    <x v="1"/>
    <x v="3"/>
  </r>
  <r>
    <x v="3"/>
    <x v="3"/>
    <x v="3"/>
    <x v="3"/>
    <x v="0"/>
    <x v="1"/>
    <x v="1"/>
    <x v="4"/>
    <x v="4"/>
    <x v="4"/>
    <x v="0"/>
    <x v="4"/>
    <x v="4"/>
    <x v="4"/>
    <x v="0"/>
    <x v="4"/>
  </r>
  <r>
    <x v="4"/>
    <x v="4"/>
    <x v="4"/>
    <x v="4"/>
    <x v="0"/>
    <x v="1"/>
    <x v="1"/>
    <x v="5"/>
    <x v="5"/>
    <x v="5"/>
    <x v="0"/>
    <x v="5"/>
    <x v="5"/>
    <x v="5"/>
    <x v="1"/>
    <x v="5"/>
  </r>
  <r>
    <x v="5"/>
    <x v="5"/>
    <x v="5"/>
    <x v="5"/>
    <x v="0"/>
    <x v="1"/>
    <x v="1"/>
    <x v="6"/>
    <x v="6"/>
    <x v="6"/>
    <x v="0"/>
    <x v="6"/>
    <x v="6"/>
    <x v="6"/>
    <x v="1"/>
    <x v="6"/>
  </r>
  <r>
    <x v="6"/>
    <x v="6"/>
    <x v="6"/>
    <x v="6"/>
    <x v="0"/>
    <x v="1"/>
    <x v="1"/>
    <x v="7"/>
    <x v="5"/>
    <x v="5"/>
    <x v="0"/>
    <x v="5"/>
    <x v="5"/>
    <x v="5"/>
    <x v="1"/>
    <x v="5"/>
  </r>
  <r>
    <x v="7"/>
    <x v="7"/>
    <x v="7"/>
    <x v="7"/>
    <x v="0"/>
    <x v="1"/>
    <x v="1"/>
    <x v="8"/>
    <x v="7"/>
    <x v="7"/>
    <x v="0"/>
    <x v="7"/>
    <x v="7"/>
    <x v="7"/>
    <x v="1"/>
    <x v="7"/>
  </r>
  <r>
    <x v="8"/>
    <x v="8"/>
    <x v="8"/>
    <x v="8"/>
    <x v="0"/>
    <x v="1"/>
    <x v="1"/>
    <x v="9"/>
    <x v="8"/>
    <x v="8"/>
    <x v="0"/>
    <x v="8"/>
    <x v="8"/>
    <x v="8"/>
    <x v="1"/>
    <x v="8"/>
  </r>
  <r>
    <x v="9"/>
    <x v="9"/>
    <x v="9"/>
    <x v="9"/>
    <x v="0"/>
    <x v="1"/>
    <x v="1"/>
    <x v="10"/>
    <x v="5"/>
    <x v="9"/>
    <x v="0"/>
    <x v="9"/>
    <x v="9"/>
    <x v="9"/>
    <x v="1"/>
    <x v="9"/>
  </r>
  <r>
    <x v="10"/>
    <x v="10"/>
    <x v="10"/>
    <x v="10"/>
    <x v="0"/>
    <x v="1"/>
    <x v="1"/>
    <x v="11"/>
    <x v="9"/>
    <x v="10"/>
    <x v="0"/>
    <x v="10"/>
    <x v="10"/>
    <x v="10"/>
    <x v="1"/>
    <x v="10"/>
  </r>
  <r>
    <x v="1"/>
    <x v="1"/>
    <x v="1"/>
    <x v="1"/>
    <x v="0"/>
    <x v="1"/>
    <x v="1"/>
    <x v="12"/>
    <x v="10"/>
    <x v="11"/>
    <x v="0"/>
    <x v="11"/>
    <x v="11"/>
    <x v="11"/>
    <x v="1"/>
    <x v="11"/>
  </r>
  <r>
    <x v="11"/>
    <x v="11"/>
    <x v="11"/>
    <x v="11"/>
    <x v="0"/>
    <x v="1"/>
    <x v="1"/>
    <x v="13"/>
    <x v="11"/>
    <x v="12"/>
    <x v="0"/>
    <x v="12"/>
    <x v="12"/>
    <x v="12"/>
    <x v="1"/>
    <x v="12"/>
  </r>
  <r>
    <x v="12"/>
    <x v="12"/>
    <x v="12"/>
    <x v="12"/>
    <x v="0"/>
    <x v="1"/>
    <x v="1"/>
    <x v="14"/>
    <x v="12"/>
    <x v="13"/>
    <x v="0"/>
    <x v="13"/>
    <x v="13"/>
    <x v="13"/>
    <x v="1"/>
    <x v="13"/>
  </r>
  <r>
    <x v="12"/>
    <x v="13"/>
    <x v="13"/>
    <x v="13"/>
    <x v="0"/>
    <x v="1"/>
    <x v="1"/>
    <x v="14"/>
    <x v="12"/>
    <x v="13"/>
    <x v="0"/>
    <x v="13"/>
    <x v="13"/>
    <x v="13"/>
    <x v="1"/>
    <x v="13"/>
  </r>
  <r>
    <x v="12"/>
    <x v="14"/>
    <x v="14"/>
    <x v="14"/>
    <x v="0"/>
    <x v="1"/>
    <x v="1"/>
    <x v="9"/>
    <x v="12"/>
    <x v="14"/>
    <x v="0"/>
    <x v="14"/>
    <x v="14"/>
    <x v="14"/>
    <x v="1"/>
    <x v="14"/>
  </r>
  <r>
    <x v="12"/>
    <x v="15"/>
    <x v="15"/>
    <x v="15"/>
    <x v="0"/>
    <x v="1"/>
    <x v="1"/>
    <x v="9"/>
    <x v="12"/>
    <x v="14"/>
    <x v="0"/>
    <x v="14"/>
    <x v="14"/>
    <x v="14"/>
    <x v="1"/>
    <x v="14"/>
  </r>
  <r>
    <x v="12"/>
    <x v="16"/>
    <x v="16"/>
    <x v="16"/>
    <x v="0"/>
    <x v="1"/>
    <x v="1"/>
    <x v="9"/>
    <x v="12"/>
    <x v="14"/>
    <x v="0"/>
    <x v="14"/>
    <x v="14"/>
    <x v="14"/>
    <x v="1"/>
    <x v="14"/>
  </r>
  <r>
    <x v="12"/>
    <x v="17"/>
    <x v="17"/>
    <x v="17"/>
    <x v="0"/>
    <x v="1"/>
    <x v="1"/>
    <x v="9"/>
    <x v="13"/>
    <x v="15"/>
    <x v="0"/>
    <x v="15"/>
    <x v="15"/>
    <x v="15"/>
    <x v="1"/>
    <x v="15"/>
  </r>
  <r>
    <x v="0"/>
    <x v="0"/>
    <x v="0"/>
    <x v="0"/>
    <x v="0"/>
    <x v="2"/>
    <x v="2"/>
    <x v="2"/>
    <x v="14"/>
    <x v="16"/>
    <x v="0"/>
    <x v="16"/>
    <x v="16"/>
    <x v="16"/>
    <x v="2"/>
    <x v="16"/>
  </r>
  <r>
    <x v="9"/>
    <x v="9"/>
    <x v="9"/>
    <x v="9"/>
    <x v="0"/>
    <x v="2"/>
    <x v="2"/>
    <x v="15"/>
    <x v="15"/>
    <x v="17"/>
    <x v="0"/>
    <x v="17"/>
    <x v="17"/>
    <x v="17"/>
    <x v="3"/>
    <x v="17"/>
  </r>
  <r>
    <x v="0"/>
    <x v="0"/>
    <x v="0"/>
    <x v="0"/>
    <x v="0"/>
    <x v="3"/>
    <x v="3"/>
    <x v="2"/>
    <x v="16"/>
    <x v="18"/>
    <x v="0"/>
    <x v="18"/>
    <x v="18"/>
    <x v="18"/>
    <x v="0"/>
    <x v="18"/>
  </r>
  <r>
    <x v="3"/>
    <x v="3"/>
    <x v="3"/>
    <x v="3"/>
    <x v="0"/>
    <x v="3"/>
    <x v="3"/>
    <x v="16"/>
    <x v="17"/>
    <x v="19"/>
    <x v="0"/>
    <x v="19"/>
    <x v="19"/>
    <x v="19"/>
    <x v="0"/>
    <x v="19"/>
  </r>
  <r>
    <x v="4"/>
    <x v="4"/>
    <x v="4"/>
    <x v="4"/>
    <x v="0"/>
    <x v="3"/>
    <x v="3"/>
    <x v="17"/>
    <x v="18"/>
    <x v="20"/>
    <x v="0"/>
    <x v="20"/>
    <x v="20"/>
    <x v="20"/>
    <x v="1"/>
    <x v="20"/>
  </r>
  <r>
    <x v="5"/>
    <x v="5"/>
    <x v="5"/>
    <x v="5"/>
    <x v="0"/>
    <x v="3"/>
    <x v="3"/>
    <x v="18"/>
    <x v="18"/>
    <x v="21"/>
    <x v="0"/>
    <x v="21"/>
    <x v="21"/>
    <x v="21"/>
    <x v="1"/>
    <x v="21"/>
  </r>
  <r>
    <x v="6"/>
    <x v="6"/>
    <x v="6"/>
    <x v="6"/>
    <x v="0"/>
    <x v="3"/>
    <x v="3"/>
    <x v="19"/>
    <x v="18"/>
    <x v="22"/>
    <x v="0"/>
    <x v="22"/>
    <x v="22"/>
    <x v="22"/>
    <x v="1"/>
    <x v="22"/>
  </r>
  <r>
    <x v="7"/>
    <x v="7"/>
    <x v="7"/>
    <x v="7"/>
    <x v="0"/>
    <x v="3"/>
    <x v="3"/>
    <x v="20"/>
    <x v="18"/>
    <x v="23"/>
    <x v="0"/>
    <x v="23"/>
    <x v="23"/>
    <x v="23"/>
    <x v="1"/>
    <x v="23"/>
  </r>
  <r>
    <x v="8"/>
    <x v="8"/>
    <x v="8"/>
    <x v="8"/>
    <x v="0"/>
    <x v="3"/>
    <x v="3"/>
    <x v="21"/>
    <x v="19"/>
    <x v="24"/>
    <x v="0"/>
    <x v="24"/>
    <x v="24"/>
    <x v="24"/>
    <x v="1"/>
    <x v="24"/>
  </r>
  <r>
    <x v="9"/>
    <x v="9"/>
    <x v="9"/>
    <x v="9"/>
    <x v="0"/>
    <x v="3"/>
    <x v="3"/>
    <x v="15"/>
    <x v="18"/>
    <x v="25"/>
    <x v="0"/>
    <x v="25"/>
    <x v="25"/>
    <x v="25"/>
    <x v="1"/>
    <x v="25"/>
  </r>
  <r>
    <x v="13"/>
    <x v="18"/>
    <x v="18"/>
    <x v="18"/>
    <x v="0"/>
    <x v="3"/>
    <x v="3"/>
    <x v="22"/>
    <x v="20"/>
    <x v="20"/>
    <x v="0"/>
    <x v="20"/>
    <x v="20"/>
    <x v="20"/>
    <x v="1"/>
    <x v="20"/>
  </r>
  <r>
    <x v="11"/>
    <x v="11"/>
    <x v="11"/>
    <x v="11"/>
    <x v="0"/>
    <x v="3"/>
    <x v="3"/>
    <x v="23"/>
    <x v="5"/>
    <x v="26"/>
    <x v="0"/>
    <x v="26"/>
    <x v="26"/>
    <x v="26"/>
    <x v="1"/>
    <x v="26"/>
  </r>
  <r>
    <x v="14"/>
    <x v="16"/>
    <x v="16"/>
    <x v="16"/>
    <x v="0"/>
    <x v="3"/>
    <x v="3"/>
    <x v="24"/>
    <x v="20"/>
    <x v="27"/>
    <x v="0"/>
    <x v="27"/>
    <x v="27"/>
    <x v="27"/>
    <x v="1"/>
    <x v="27"/>
  </r>
  <r>
    <x v="15"/>
    <x v="14"/>
    <x v="14"/>
    <x v="14"/>
    <x v="0"/>
    <x v="3"/>
    <x v="3"/>
    <x v="25"/>
    <x v="20"/>
    <x v="28"/>
    <x v="0"/>
    <x v="28"/>
    <x v="28"/>
    <x v="28"/>
    <x v="1"/>
    <x v="28"/>
  </r>
  <r>
    <x v="16"/>
    <x v="12"/>
    <x v="12"/>
    <x v="12"/>
    <x v="0"/>
    <x v="3"/>
    <x v="3"/>
    <x v="26"/>
    <x v="21"/>
    <x v="29"/>
    <x v="0"/>
    <x v="29"/>
    <x v="29"/>
    <x v="29"/>
    <x v="1"/>
    <x v="29"/>
  </r>
  <r>
    <x v="12"/>
    <x v="19"/>
    <x v="19"/>
    <x v="19"/>
    <x v="0"/>
    <x v="3"/>
    <x v="3"/>
    <x v="13"/>
    <x v="22"/>
    <x v="30"/>
    <x v="0"/>
    <x v="30"/>
    <x v="30"/>
    <x v="30"/>
    <x v="1"/>
    <x v="30"/>
  </r>
  <r>
    <x v="0"/>
    <x v="0"/>
    <x v="0"/>
    <x v="0"/>
    <x v="0"/>
    <x v="4"/>
    <x v="4"/>
    <x v="0"/>
    <x v="23"/>
    <x v="31"/>
    <x v="0"/>
    <x v="31"/>
    <x v="31"/>
    <x v="31"/>
    <x v="4"/>
    <x v="31"/>
  </r>
  <r>
    <x v="17"/>
    <x v="20"/>
    <x v="20"/>
    <x v="20"/>
    <x v="0"/>
    <x v="4"/>
    <x v="4"/>
    <x v="27"/>
    <x v="24"/>
    <x v="32"/>
    <x v="0"/>
    <x v="32"/>
    <x v="32"/>
    <x v="32"/>
    <x v="2"/>
    <x v="32"/>
  </r>
  <r>
    <x v="4"/>
    <x v="4"/>
    <x v="4"/>
    <x v="4"/>
    <x v="0"/>
    <x v="4"/>
    <x v="4"/>
    <x v="28"/>
    <x v="25"/>
    <x v="33"/>
    <x v="0"/>
    <x v="33"/>
    <x v="33"/>
    <x v="33"/>
    <x v="2"/>
    <x v="33"/>
  </r>
  <r>
    <x v="6"/>
    <x v="6"/>
    <x v="6"/>
    <x v="6"/>
    <x v="0"/>
    <x v="4"/>
    <x v="4"/>
    <x v="28"/>
    <x v="25"/>
    <x v="33"/>
    <x v="0"/>
    <x v="33"/>
    <x v="33"/>
    <x v="33"/>
    <x v="2"/>
    <x v="33"/>
  </r>
  <r>
    <x v="18"/>
    <x v="5"/>
    <x v="21"/>
    <x v="21"/>
    <x v="0"/>
    <x v="4"/>
    <x v="4"/>
    <x v="29"/>
    <x v="26"/>
    <x v="34"/>
    <x v="0"/>
    <x v="34"/>
    <x v="34"/>
    <x v="34"/>
    <x v="4"/>
    <x v="34"/>
  </r>
  <r>
    <x v="8"/>
    <x v="8"/>
    <x v="8"/>
    <x v="8"/>
    <x v="0"/>
    <x v="4"/>
    <x v="4"/>
    <x v="29"/>
    <x v="27"/>
    <x v="32"/>
    <x v="0"/>
    <x v="32"/>
    <x v="32"/>
    <x v="32"/>
    <x v="2"/>
    <x v="32"/>
  </r>
  <r>
    <x v="9"/>
    <x v="9"/>
    <x v="9"/>
    <x v="9"/>
    <x v="0"/>
    <x v="4"/>
    <x v="4"/>
    <x v="30"/>
    <x v="28"/>
    <x v="35"/>
    <x v="0"/>
    <x v="35"/>
    <x v="35"/>
    <x v="35"/>
    <x v="2"/>
    <x v="35"/>
  </r>
  <r>
    <x v="10"/>
    <x v="10"/>
    <x v="10"/>
    <x v="10"/>
    <x v="0"/>
    <x v="4"/>
    <x v="4"/>
    <x v="31"/>
    <x v="29"/>
    <x v="36"/>
    <x v="0"/>
    <x v="36"/>
    <x v="36"/>
    <x v="36"/>
    <x v="2"/>
    <x v="36"/>
  </r>
  <r>
    <x v="19"/>
    <x v="21"/>
    <x v="22"/>
    <x v="14"/>
    <x v="0"/>
    <x v="4"/>
    <x v="4"/>
    <x v="32"/>
    <x v="30"/>
    <x v="33"/>
    <x v="0"/>
    <x v="33"/>
    <x v="33"/>
    <x v="33"/>
    <x v="2"/>
    <x v="33"/>
  </r>
  <r>
    <x v="13"/>
    <x v="18"/>
    <x v="18"/>
    <x v="18"/>
    <x v="0"/>
    <x v="4"/>
    <x v="4"/>
    <x v="33"/>
    <x v="24"/>
    <x v="37"/>
    <x v="0"/>
    <x v="37"/>
    <x v="37"/>
    <x v="37"/>
    <x v="2"/>
    <x v="37"/>
  </r>
  <r>
    <x v="1"/>
    <x v="1"/>
    <x v="1"/>
    <x v="1"/>
    <x v="0"/>
    <x v="4"/>
    <x v="4"/>
    <x v="34"/>
    <x v="24"/>
    <x v="38"/>
    <x v="0"/>
    <x v="38"/>
    <x v="38"/>
    <x v="38"/>
    <x v="2"/>
    <x v="38"/>
  </r>
  <r>
    <x v="14"/>
    <x v="16"/>
    <x v="16"/>
    <x v="16"/>
    <x v="0"/>
    <x v="4"/>
    <x v="4"/>
    <x v="27"/>
    <x v="31"/>
    <x v="39"/>
    <x v="0"/>
    <x v="39"/>
    <x v="39"/>
    <x v="39"/>
    <x v="2"/>
    <x v="39"/>
  </r>
  <r>
    <x v="15"/>
    <x v="14"/>
    <x v="14"/>
    <x v="14"/>
    <x v="0"/>
    <x v="4"/>
    <x v="4"/>
    <x v="29"/>
    <x v="28"/>
    <x v="40"/>
    <x v="0"/>
    <x v="40"/>
    <x v="40"/>
    <x v="40"/>
    <x v="2"/>
    <x v="40"/>
  </r>
  <r>
    <x v="12"/>
    <x v="22"/>
    <x v="23"/>
    <x v="22"/>
    <x v="0"/>
    <x v="4"/>
    <x v="4"/>
    <x v="32"/>
    <x v="12"/>
    <x v="41"/>
    <x v="0"/>
    <x v="41"/>
    <x v="41"/>
    <x v="41"/>
    <x v="2"/>
    <x v="41"/>
  </r>
  <r>
    <x v="12"/>
    <x v="23"/>
    <x v="24"/>
    <x v="23"/>
    <x v="0"/>
    <x v="4"/>
    <x v="4"/>
    <x v="35"/>
    <x v="12"/>
    <x v="41"/>
    <x v="0"/>
    <x v="41"/>
    <x v="41"/>
    <x v="41"/>
    <x v="2"/>
    <x v="41"/>
  </r>
  <r>
    <x v="18"/>
    <x v="5"/>
    <x v="21"/>
    <x v="21"/>
    <x v="0"/>
    <x v="5"/>
    <x v="5"/>
    <x v="36"/>
    <x v="15"/>
    <x v="42"/>
    <x v="0"/>
    <x v="42"/>
    <x v="42"/>
    <x v="42"/>
    <x v="1"/>
    <x v="42"/>
  </r>
  <r>
    <x v="9"/>
    <x v="9"/>
    <x v="9"/>
    <x v="9"/>
    <x v="0"/>
    <x v="5"/>
    <x v="5"/>
    <x v="37"/>
    <x v="32"/>
    <x v="43"/>
    <x v="0"/>
    <x v="43"/>
    <x v="43"/>
    <x v="43"/>
    <x v="0"/>
    <x v="43"/>
  </r>
  <r>
    <x v="12"/>
    <x v="24"/>
    <x v="25"/>
    <x v="24"/>
    <x v="0"/>
    <x v="5"/>
    <x v="5"/>
    <x v="38"/>
    <x v="33"/>
    <x v="44"/>
    <x v="0"/>
    <x v="44"/>
    <x v="44"/>
    <x v="44"/>
    <x v="1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82" firstHeaderRow="0" firstDataRow="1" firstDataCol="2"/>
  <pivotFields count="16">
    <pivotField compact="0" showAll="0"/>
    <pivotField compact="0" showAll="0"/>
    <pivotField compact="0" showAll="0"/>
    <pivotField axis="axisRow" compact="0" showAll="0">
      <items count="26">
        <item x="12"/>
        <item x="22"/>
        <item x="3"/>
        <item x="2"/>
        <item x="18"/>
        <item x="5"/>
        <item x="24"/>
        <item x="7"/>
        <item x="11"/>
        <item x="14"/>
        <item x="0"/>
        <item x="4"/>
        <item x="20"/>
        <item x="21"/>
        <item x="13"/>
        <item x="1"/>
        <item x="9"/>
        <item x="19"/>
        <item x="17"/>
        <item x="23"/>
        <item x="8"/>
        <item x="16"/>
        <item x="6"/>
        <item x="15"/>
        <item x="10"/>
        <item t="default"/>
      </items>
    </pivotField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dataField="1" compact="0" numFmtId="178" showAll="0"/>
    <pivotField compact="0" showAll="0"/>
    <pivotField dataField="1" compact="0" numFmtId="176" showAll="0"/>
  </pivotFields>
  <rowFields count="2">
    <field x="3"/>
    <field x="5"/>
  </rowFields>
  <rowItems count="79">
    <i>
      <x/>
    </i>
    <i r="1">
      <x v="1"/>
    </i>
    <i r="1">
      <x v="3"/>
    </i>
    <i>
      <x v="1"/>
    </i>
    <i r="1">
      <x v="4"/>
    </i>
    <i>
      <x v="2"/>
    </i>
    <i r="1">
      <x v="1"/>
    </i>
    <i r="1">
      <x v="3"/>
    </i>
    <i>
      <x v="3"/>
    </i>
    <i r="1">
      <x v="1"/>
    </i>
    <i>
      <x v="4"/>
    </i>
    <i r="1">
      <x v="3"/>
    </i>
    <i r="1">
      <x v="4"/>
    </i>
    <i>
      <x v="5"/>
    </i>
    <i r="1">
      <x v="1"/>
    </i>
    <i r="1">
      <x v="3"/>
    </i>
    <i>
      <x v="6"/>
    </i>
    <i r="1">
      <x v="5"/>
    </i>
    <i>
      <x v="7"/>
    </i>
    <i r="1">
      <x v="1"/>
    </i>
    <i r="1">
      <x v="3"/>
    </i>
    <i>
      <x v="8"/>
    </i>
    <i r="1">
      <x v="1"/>
    </i>
    <i r="1">
      <x v="3"/>
    </i>
    <i>
      <x v="9"/>
    </i>
    <i r="1">
      <x v="1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 v="1"/>
    </i>
    <i r="1">
      <x v="3"/>
    </i>
    <i r="1">
      <x v="4"/>
    </i>
    <i>
      <x v="12"/>
    </i>
    <i r="1">
      <x v="4"/>
    </i>
    <i>
      <x v="13"/>
    </i>
    <i r="1">
      <x v="4"/>
    </i>
    <i r="1">
      <x v="5"/>
    </i>
    <i>
      <x v="14"/>
    </i>
    <i r="1">
      <x v="1"/>
    </i>
    <i>
      <x v="15"/>
    </i>
    <i r="1">
      <x/>
    </i>
    <i r="1">
      <x v="1"/>
    </i>
    <i r="1">
      <x v="4"/>
    </i>
    <i>
      <x v="16"/>
    </i>
    <i r="1">
      <x v="1"/>
    </i>
    <i r="1">
      <x v="2"/>
    </i>
    <i r="1">
      <x v="3"/>
    </i>
    <i r="1">
      <x v="4"/>
    </i>
    <i r="1">
      <x v="5"/>
    </i>
    <i>
      <x v="17"/>
    </i>
    <i r="1">
      <x v="3"/>
    </i>
    <i>
      <x v="18"/>
    </i>
    <i r="1">
      <x v="1"/>
    </i>
    <i>
      <x v="19"/>
    </i>
    <i r="1">
      <x v="4"/>
    </i>
    <i>
      <x v="20"/>
    </i>
    <i r="1">
      <x v="1"/>
    </i>
    <i r="1">
      <x v="3"/>
    </i>
    <i r="1">
      <x v="4"/>
    </i>
    <i>
      <x v="21"/>
    </i>
    <i r="1">
      <x v="1"/>
    </i>
    <i r="1">
      <x v="3"/>
    </i>
    <i r="1">
      <x v="4"/>
    </i>
    <i>
      <x v="22"/>
    </i>
    <i r="1">
      <x v="1"/>
    </i>
    <i r="1">
      <x v="3"/>
    </i>
    <i r="1">
      <x v="4"/>
    </i>
    <i>
      <x v="23"/>
    </i>
    <i r="1">
      <x v="1"/>
    </i>
    <i>
      <x v="24"/>
    </i>
    <i r="1">
      <x v="1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当日总时长-十进制" fld="13" baseField="0" baseItem="0"/>
    <dataField name="求和项:价格(AUD)" fld="15" baseField="0" baseItem="0"/>
  </dataFields>
  <formats count="4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2"/>
  <sheetViews>
    <sheetView topLeftCell="A2" workbookViewId="0">
      <selection activeCell="C33" sqref="C33"/>
    </sheetView>
  </sheetViews>
  <sheetFormatPr defaultColWidth="9.14285714285714" defaultRowHeight="16.8" outlineLevelCol="4"/>
  <cols>
    <col min="1" max="1" width="23.2142857142857"/>
    <col min="2" max="2" width="12.3571428571429"/>
    <col min="3" max="3" width="27.8571428571429" style="60"/>
    <col min="4" max="4" width="27.8571428571429"/>
    <col min="5" max="5" width="27.8571428571429" style="60"/>
  </cols>
  <sheetData>
    <row r="3" spans="1:5">
      <c r="A3" t="s">
        <v>0</v>
      </c>
      <c r="B3" t="s">
        <v>1</v>
      </c>
      <c r="C3" s="60" t="s">
        <v>2</v>
      </c>
      <c r="D3" s="60" t="s">
        <v>3</v>
      </c>
      <c r="E3"/>
    </row>
    <row r="4" spans="1:5">
      <c r="A4" t="s">
        <v>4</v>
      </c>
      <c r="B4"/>
      <c r="C4" s="60">
        <v>7.8</v>
      </c>
      <c r="D4" s="60">
        <v>268.632</v>
      </c>
      <c r="E4"/>
    </row>
    <row r="5" spans="2:5">
      <c r="B5" t="s">
        <v>5</v>
      </c>
      <c r="C5" s="60">
        <v>3</v>
      </c>
      <c r="D5" s="60">
        <v>103.32</v>
      </c>
      <c r="E5"/>
    </row>
    <row r="6" spans="2:5">
      <c r="B6" t="s">
        <v>6</v>
      </c>
      <c r="C6" s="60">
        <v>4.8</v>
      </c>
      <c r="D6" s="60">
        <v>165.312</v>
      </c>
      <c r="E6"/>
    </row>
    <row r="7" spans="1:5">
      <c r="A7" t="s">
        <v>7</v>
      </c>
      <c r="B7"/>
      <c r="C7" s="60">
        <v>4</v>
      </c>
      <c r="D7" s="60">
        <v>172.2</v>
      </c>
      <c r="E7"/>
    </row>
    <row r="8" spans="2:5">
      <c r="B8" t="s">
        <v>8</v>
      </c>
      <c r="C8" s="60">
        <v>4</v>
      </c>
      <c r="D8" s="60">
        <v>172.2</v>
      </c>
      <c r="E8"/>
    </row>
    <row r="9" spans="1:5">
      <c r="A9" t="s">
        <v>9</v>
      </c>
      <c r="B9"/>
      <c r="C9" s="60">
        <v>22.1</v>
      </c>
      <c r="D9" s="60">
        <v>815.49</v>
      </c>
      <c r="E9"/>
    </row>
    <row r="10" spans="2:5">
      <c r="B10" t="s">
        <v>5</v>
      </c>
      <c r="C10" s="60">
        <v>10.8666666666667</v>
      </c>
      <c r="D10" s="60">
        <v>400.980000000001</v>
      </c>
      <c r="E10"/>
    </row>
    <row r="11" spans="2:5">
      <c r="B11" t="s">
        <v>6</v>
      </c>
      <c r="C11" s="60">
        <v>11.2333333333333</v>
      </c>
      <c r="D11" s="60">
        <v>414.509999999999</v>
      </c>
      <c r="E11"/>
    </row>
    <row r="12" spans="1:5">
      <c r="A12" t="s">
        <v>10</v>
      </c>
      <c r="B12"/>
      <c r="C12" s="60">
        <v>7.93333333333333</v>
      </c>
      <c r="D12" s="60">
        <v>273.224</v>
      </c>
      <c r="E12"/>
    </row>
    <row r="13" spans="2:5">
      <c r="B13" t="s">
        <v>5</v>
      </c>
      <c r="C13" s="60">
        <v>7.93333333333333</v>
      </c>
      <c r="D13" s="60">
        <v>273.224</v>
      </c>
      <c r="E13"/>
    </row>
    <row r="14" spans="1:5">
      <c r="A14" t="s">
        <v>11</v>
      </c>
      <c r="B14"/>
      <c r="C14" s="60">
        <v>14.6166666666667</v>
      </c>
      <c r="D14" s="60">
        <v>576.87</v>
      </c>
      <c r="E14"/>
    </row>
    <row r="15" spans="2:5">
      <c r="B15" t="s">
        <v>6</v>
      </c>
      <c r="C15" s="60">
        <v>6.08333333333333</v>
      </c>
      <c r="D15" s="60">
        <v>209.51</v>
      </c>
      <c r="E15"/>
    </row>
    <row r="16" spans="2:5">
      <c r="B16" t="s">
        <v>8</v>
      </c>
      <c r="C16" s="60">
        <v>8.53333333333333</v>
      </c>
      <c r="D16" s="60">
        <v>367.36</v>
      </c>
      <c r="E16"/>
    </row>
    <row r="17" spans="1:5">
      <c r="A17" t="s">
        <v>12</v>
      </c>
      <c r="B17"/>
      <c r="C17" s="60">
        <v>14.5166666666667</v>
      </c>
      <c r="D17" s="60">
        <v>499.954</v>
      </c>
      <c r="E17"/>
    </row>
    <row r="18" spans="2:5">
      <c r="B18" t="s">
        <v>5</v>
      </c>
      <c r="C18" s="60">
        <v>8.36666666666667</v>
      </c>
      <c r="D18" s="60">
        <v>288.148</v>
      </c>
      <c r="E18"/>
    </row>
    <row r="19" spans="2:5">
      <c r="B19" t="s">
        <v>6</v>
      </c>
      <c r="C19" s="60">
        <v>6.15</v>
      </c>
      <c r="D19" s="60">
        <v>211.806</v>
      </c>
      <c r="E19"/>
    </row>
    <row r="20" spans="1:5">
      <c r="A20" t="s">
        <v>13</v>
      </c>
      <c r="B20"/>
      <c r="C20" s="60">
        <v>16.83</v>
      </c>
      <c r="D20" s="60">
        <v>579.6252</v>
      </c>
      <c r="E20"/>
    </row>
    <row r="21" spans="2:5">
      <c r="B21" t="s">
        <v>14</v>
      </c>
      <c r="C21" s="60">
        <v>16.83</v>
      </c>
      <c r="D21" s="60">
        <v>579.6252</v>
      </c>
      <c r="E21"/>
    </row>
    <row r="22" spans="1:5">
      <c r="A22" t="s">
        <v>15</v>
      </c>
      <c r="C22" s="60">
        <v>13.5166666666667</v>
      </c>
      <c r="D22" s="60">
        <v>465.514</v>
      </c>
      <c r="E22"/>
    </row>
    <row r="23" spans="2:5">
      <c r="B23" t="s">
        <v>5</v>
      </c>
      <c r="C23" s="60">
        <v>7.31666666666667</v>
      </c>
      <c r="D23" s="60">
        <v>251.986</v>
      </c>
      <c r="E23"/>
    </row>
    <row r="24" spans="2:5">
      <c r="B24" t="s">
        <v>6</v>
      </c>
      <c r="C24" s="60">
        <v>6.2</v>
      </c>
      <c r="D24" s="60">
        <v>213.528</v>
      </c>
      <c r="E24"/>
    </row>
    <row r="25" spans="1:5">
      <c r="A25" t="s">
        <v>16</v>
      </c>
      <c r="C25" s="60">
        <v>11.7166666666667</v>
      </c>
      <c r="D25" s="60">
        <v>403.522</v>
      </c>
      <c r="E25"/>
    </row>
    <row r="26" spans="2:5">
      <c r="B26" t="s">
        <v>5</v>
      </c>
      <c r="C26" s="60">
        <v>6.01666666666667</v>
      </c>
      <c r="D26" s="60">
        <v>207.214</v>
      </c>
      <c r="E26"/>
    </row>
    <row r="27" spans="2:5">
      <c r="B27" t="s">
        <v>6</v>
      </c>
      <c r="C27" s="60">
        <v>5.7</v>
      </c>
      <c r="D27" s="60">
        <v>196.308</v>
      </c>
      <c r="E27"/>
    </row>
    <row r="28" spans="1:5">
      <c r="A28" t="s">
        <v>17</v>
      </c>
      <c r="C28" s="60">
        <v>27.0333333333333</v>
      </c>
      <c r="D28" s="60">
        <v>1080.842</v>
      </c>
      <c r="E28"/>
    </row>
    <row r="29" spans="2:5">
      <c r="B29" t="s">
        <v>5</v>
      </c>
      <c r="C29" s="60">
        <v>3.5</v>
      </c>
      <c r="D29" s="60">
        <v>120.54</v>
      </c>
      <c r="E29"/>
    </row>
    <row r="30" spans="2:5">
      <c r="B30" t="s">
        <v>6</v>
      </c>
      <c r="C30" s="60">
        <v>6.13333333333333</v>
      </c>
      <c r="D30" s="60">
        <v>211.232</v>
      </c>
      <c r="E30"/>
    </row>
    <row r="31" spans="2:5">
      <c r="B31" t="s">
        <v>8</v>
      </c>
      <c r="C31" s="60">
        <v>17.4</v>
      </c>
      <c r="D31" s="60">
        <v>749.07</v>
      </c>
      <c r="E31"/>
    </row>
    <row r="32" spans="1:5">
      <c r="A32" t="s">
        <v>18</v>
      </c>
      <c r="C32" s="60">
        <v>44.75</v>
      </c>
      <c r="D32" s="60">
        <v>1795.0825</v>
      </c>
      <c r="E32"/>
    </row>
    <row r="33" spans="2:5">
      <c r="B33" t="s">
        <v>19</v>
      </c>
      <c r="C33" s="60">
        <v>5.33333333333333</v>
      </c>
      <c r="D33" s="60">
        <v>196.8</v>
      </c>
      <c r="E33"/>
    </row>
    <row r="34" spans="2:5">
      <c r="B34" t="s">
        <v>5</v>
      </c>
      <c r="C34" s="60">
        <v>10.3166666666667</v>
      </c>
      <c r="D34" s="60">
        <v>380.685000000001</v>
      </c>
      <c r="E34"/>
    </row>
    <row r="35" spans="2:5">
      <c r="B35" t="s">
        <v>20</v>
      </c>
      <c r="C35" s="60">
        <v>10.0833333333333</v>
      </c>
      <c r="D35" s="60">
        <v>434.0875</v>
      </c>
      <c r="E35"/>
    </row>
    <row r="36" spans="2:5">
      <c r="B36" t="s">
        <v>6</v>
      </c>
      <c r="C36" s="60">
        <v>10.15</v>
      </c>
      <c r="D36" s="60">
        <v>374.535</v>
      </c>
      <c r="E36"/>
    </row>
    <row r="37" spans="2:5">
      <c r="B37" t="s">
        <v>8</v>
      </c>
      <c r="C37" s="60">
        <v>8.86666666666667</v>
      </c>
      <c r="D37" s="60">
        <v>408.975</v>
      </c>
      <c r="E37"/>
    </row>
    <row r="38" spans="1:5">
      <c r="A38" t="s">
        <v>21</v>
      </c>
      <c r="C38" s="60">
        <v>23</v>
      </c>
      <c r="D38" s="60">
        <v>866.8835</v>
      </c>
      <c r="E38"/>
    </row>
    <row r="39" spans="2:5">
      <c r="B39" t="s">
        <v>5</v>
      </c>
      <c r="C39" s="60">
        <v>8.23333333333333</v>
      </c>
      <c r="D39" s="60">
        <v>283.556</v>
      </c>
      <c r="E39"/>
    </row>
    <row r="40" spans="2:5">
      <c r="B40" t="s">
        <v>6</v>
      </c>
      <c r="C40" s="60">
        <v>6.08333333333333</v>
      </c>
      <c r="D40" s="60">
        <v>209.51</v>
      </c>
      <c r="E40"/>
    </row>
    <row r="41" spans="2:5">
      <c r="B41" t="s">
        <v>8</v>
      </c>
      <c r="C41" s="60">
        <v>8.68333333333333</v>
      </c>
      <c r="D41" s="60">
        <v>373.8175</v>
      </c>
      <c r="E41"/>
    </row>
    <row r="42" spans="1:5">
      <c r="A42" t="s">
        <v>22</v>
      </c>
      <c r="C42" s="60">
        <v>8.6</v>
      </c>
      <c r="D42" s="60">
        <v>370.23</v>
      </c>
      <c r="E42"/>
    </row>
    <row r="43" spans="2:5">
      <c r="B43" t="s">
        <v>8</v>
      </c>
      <c r="C43" s="60">
        <v>8.6</v>
      </c>
      <c r="D43" s="60">
        <v>370.23</v>
      </c>
      <c r="E43"/>
    </row>
    <row r="44" spans="1:5">
      <c r="A44" t="s">
        <v>23</v>
      </c>
      <c r="C44" s="60">
        <v>18.5666666666666</v>
      </c>
      <c r="D44" s="60">
        <v>775.955749999998</v>
      </c>
      <c r="E44"/>
    </row>
    <row r="45" spans="2:5">
      <c r="B45" t="s">
        <v>8</v>
      </c>
      <c r="C45" s="60">
        <v>11.6833333333333</v>
      </c>
      <c r="D45" s="60">
        <v>538.893749999998</v>
      </c>
      <c r="E45"/>
    </row>
    <row r="46" spans="2:5">
      <c r="B46" t="s">
        <v>14</v>
      </c>
      <c r="C46" s="60">
        <v>6.88333333333333</v>
      </c>
      <c r="D46" s="60">
        <v>237.062</v>
      </c>
      <c r="E46"/>
    </row>
    <row r="47" spans="1:5">
      <c r="A47" t="s">
        <v>24</v>
      </c>
      <c r="C47" s="60">
        <v>3</v>
      </c>
      <c r="D47" s="60">
        <v>103.32</v>
      </c>
      <c r="E47"/>
    </row>
    <row r="48" spans="2:5">
      <c r="B48" t="s">
        <v>5</v>
      </c>
      <c r="C48" s="60">
        <v>3</v>
      </c>
      <c r="D48" s="60">
        <v>103.32</v>
      </c>
      <c r="E48"/>
    </row>
    <row r="49" spans="1:5">
      <c r="A49" t="s">
        <v>25</v>
      </c>
      <c r="C49" s="60">
        <v>19.3333333333333</v>
      </c>
      <c r="D49" s="60">
        <v>738.451</v>
      </c>
      <c r="E49"/>
    </row>
    <row r="50" spans="2:5">
      <c r="B50" t="s">
        <v>19</v>
      </c>
      <c r="C50" s="60">
        <v>3.21666666666667</v>
      </c>
      <c r="D50" s="60">
        <v>110.782</v>
      </c>
      <c r="E50"/>
    </row>
    <row r="51" spans="2:5">
      <c r="B51" t="s">
        <v>5</v>
      </c>
      <c r="C51" s="60">
        <v>7.68333333333333</v>
      </c>
      <c r="D51" s="60">
        <v>264.614</v>
      </c>
      <c r="E51"/>
    </row>
    <row r="52" spans="2:5">
      <c r="B52" t="s">
        <v>8</v>
      </c>
      <c r="C52" s="60">
        <v>8.43333333333333</v>
      </c>
      <c r="D52" s="60">
        <v>363.055</v>
      </c>
      <c r="E52"/>
    </row>
    <row r="53" spans="1:5">
      <c r="A53" t="s">
        <v>26</v>
      </c>
      <c r="C53" s="60">
        <v>38.2333333333333</v>
      </c>
      <c r="D53" s="60">
        <v>1713.1235</v>
      </c>
      <c r="E53"/>
    </row>
    <row r="54" spans="2:5">
      <c r="B54" t="s">
        <v>5</v>
      </c>
      <c r="C54" s="60">
        <v>7.46666666666667</v>
      </c>
      <c r="D54" s="60">
        <v>257.152</v>
      </c>
      <c r="E54"/>
    </row>
    <row r="55" spans="2:5">
      <c r="B55" t="s">
        <v>20</v>
      </c>
      <c r="C55" s="60">
        <v>5.88333333333333</v>
      </c>
      <c r="D55" s="60">
        <v>506.555</v>
      </c>
      <c r="E55"/>
    </row>
    <row r="56" spans="2:5">
      <c r="B56" t="s">
        <v>6</v>
      </c>
      <c r="C56" s="60">
        <v>9.26666666666667</v>
      </c>
      <c r="D56" s="60">
        <v>319.144</v>
      </c>
      <c r="E56"/>
    </row>
    <row r="57" spans="2:5">
      <c r="B57" t="s">
        <v>8</v>
      </c>
      <c r="C57" s="60">
        <v>8.78333333333333</v>
      </c>
      <c r="D57" s="60">
        <v>378.1225</v>
      </c>
      <c r="E57"/>
    </row>
    <row r="58" spans="2:5">
      <c r="B58" t="s">
        <v>14</v>
      </c>
      <c r="C58" s="60">
        <v>6.83333333333333</v>
      </c>
      <c r="D58" s="60">
        <v>252.15</v>
      </c>
      <c r="E58"/>
    </row>
    <row r="59" spans="1:5">
      <c r="A59" t="s">
        <v>27</v>
      </c>
      <c r="C59" s="60">
        <v>2.66666666666667</v>
      </c>
      <c r="D59" s="60">
        <v>91.8400000000001</v>
      </c>
      <c r="E59"/>
    </row>
    <row r="60" spans="2:5">
      <c r="B60" t="s">
        <v>6</v>
      </c>
      <c r="C60" s="60">
        <v>2.66666666666667</v>
      </c>
      <c r="D60" s="60">
        <v>91.8400000000001</v>
      </c>
      <c r="E60"/>
    </row>
    <row r="61" spans="1:5">
      <c r="A61" t="s">
        <v>28</v>
      </c>
      <c r="C61" s="60">
        <v>7.5</v>
      </c>
      <c r="D61" s="60">
        <v>258.3</v>
      </c>
      <c r="E61"/>
    </row>
    <row r="62" spans="2:5">
      <c r="B62" t="s">
        <v>5</v>
      </c>
      <c r="C62" s="60">
        <v>7.5</v>
      </c>
      <c r="D62" s="60">
        <v>258.3</v>
      </c>
      <c r="E62"/>
    </row>
    <row r="63" spans="1:5">
      <c r="A63" t="s">
        <v>29</v>
      </c>
      <c r="C63" s="60">
        <v>4</v>
      </c>
      <c r="D63" s="60">
        <v>172.2</v>
      </c>
      <c r="E63"/>
    </row>
    <row r="64" spans="2:5">
      <c r="B64" t="s">
        <v>8</v>
      </c>
      <c r="C64" s="60">
        <v>4</v>
      </c>
      <c r="D64" s="60">
        <v>172.2</v>
      </c>
      <c r="E64"/>
    </row>
    <row r="65" spans="1:5">
      <c r="A65" t="s">
        <v>30</v>
      </c>
      <c r="C65" s="60">
        <v>23.35</v>
      </c>
      <c r="D65" s="60">
        <v>878.22</v>
      </c>
      <c r="E65"/>
    </row>
    <row r="66" spans="2:5">
      <c r="B66" t="s">
        <v>5</v>
      </c>
      <c r="C66" s="60">
        <v>8.46666666666667</v>
      </c>
      <c r="D66" s="60">
        <v>291.592</v>
      </c>
      <c r="E66"/>
    </row>
    <row r="67" spans="2:5">
      <c r="B67" t="s">
        <v>6</v>
      </c>
      <c r="C67" s="60">
        <v>6.28333333333333</v>
      </c>
      <c r="D67" s="60">
        <v>216.398</v>
      </c>
      <c r="E67"/>
    </row>
    <row r="68" spans="2:5">
      <c r="B68" t="s">
        <v>8</v>
      </c>
      <c r="C68" s="60">
        <v>8.6</v>
      </c>
      <c r="D68" s="60">
        <v>370.23</v>
      </c>
      <c r="E68"/>
    </row>
    <row r="69" spans="1:5">
      <c r="A69" t="s">
        <v>31</v>
      </c>
      <c r="C69" s="60">
        <v>18.3333333333333</v>
      </c>
      <c r="D69" s="60">
        <v>706.02</v>
      </c>
      <c r="E69"/>
    </row>
    <row r="70" spans="2:5">
      <c r="B70" t="s">
        <v>5</v>
      </c>
      <c r="C70" s="60">
        <v>3.5</v>
      </c>
      <c r="D70" s="60">
        <v>120.54</v>
      </c>
      <c r="E70"/>
    </row>
    <row r="71" spans="2:5">
      <c r="B71" t="s">
        <v>6</v>
      </c>
      <c r="C71" s="60">
        <v>6.16666666666667</v>
      </c>
      <c r="D71" s="60">
        <v>212.38</v>
      </c>
      <c r="E71"/>
    </row>
    <row r="72" spans="2:5">
      <c r="B72" t="s">
        <v>8</v>
      </c>
      <c r="C72" s="60">
        <v>8.66666666666667</v>
      </c>
      <c r="D72" s="60">
        <v>373.1</v>
      </c>
      <c r="E72"/>
    </row>
    <row r="73" spans="1:5">
      <c r="A73" t="s">
        <v>32</v>
      </c>
      <c r="C73" s="60">
        <v>22.9833333333333</v>
      </c>
      <c r="D73" s="60">
        <v>866.3095</v>
      </c>
      <c r="E73"/>
    </row>
    <row r="74" spans="2:5">
      <c r="B74" t="s">
        <v>5</v>
      </c>
      <c r="C74" s="60">
        <v>8.23333333333333</v>
      </c>
      <c r="D74" s="60">
        <v>283.556</v>
      </c>
      <c r="E74"/>
    </row>
    <row r="75" spans="2:5">
      <c r="B75" t="s">
        <v>6</v>
      </c>
      <c r="C75" s="60">
        <v>6.06666666666667</v>
      </c>
      <c r="D75" s="60">
        <v>208.936</v>
      </c>
      <c r="E75"/>
    </row>
    <row r="76" spans="2:5">
      <c r="B76" t="s">
        <v>8</v>
      </c>
      <c r="C76" s="60">
        <v>8.68333333333333</v>
      </c>
      <c r="D76" s="60">
        <v>373.8175</v>
      </c>
      <c r="E76"/>
    </row>
    <row r="77" spans="1:5">
      <c r="A77" t="s">
        <v>33</v>
      </c>
      <c r="C77" s="60">
        <v>3.5</v>
      </c>
      <c r="D77" s="60">
        <v>120.54</v>
      </c>
      <c r="E77"/>
    </row>
    <row r="78" spans="2:5">
      <c r="B78" t="s">
        <v>5</v>
      </c>
      <c r="C78" s="60">
        <v>3.5</v>
      </c>
      <c r="D78" s="60">
        <v>120.54</v>
      </c>
      <c r="E78"/>
    </row>
    <row r="79" spans="1:5">
      <c r="A79" t="s">
        <v>34</v>
      </c>
      <c r="C79" s="60">
        <v>9.21666666666666</v>
      </c>
      <c r="D79" s="60">
        <v>384.006</v>
      </c>
      <c r="E79"/>
    </row>
    <row r="80" spans="2:5">
      <c r="B80" t="s">
        <v>5</v>
      </c>
      <c r="C80" s="60">
        <v>1.48333333333333</v>
      </c>
      <c r="D80" s="60">
        <v>51.0859999999999</v>
      </c>
      <c r="E80"/>
    </row>
    <row r="81" spans="2:5">
      <c r="B81" t="s">
        <v>8</v>
      </c>
      <c r="C81" s="60">
        <v>7.73333333333333</v>
      </c>
      <c r="D81" s="60">
        <v>332.92</v>
      </c>
      <c r="E81"/>
    </row>
    <row r="82" spans="1:5">
      <c r="A82" t="s">
        <v>35</v>
      </c>
      <c r="C82" s="60">
        <v>387.096666666667</v>
      </c>
      <c r="D82" s="60">
        <v>14976.35495</v>
      </c>
      <c r="E8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tabSelected="1" zoomScale="50" zoomScaleNormal="50" workbookViewId="0">
      <pane ySplit="1" topLeftCell="A2" activePane="bottomLeft" state="frozen"/>
      <selection/>
      <selection pane="bottomLeft" activeCell="Q26" sqref="Q26"/>
    </sheetView>
  </sheetViews>
  <sheetFormatPr defaultColWidth="9" defaultRowHeight="16.8"/>
  <cols>
    <col min="1" max="1" width="32.6785714285714" style="16" customWidth="1"/>
    <col min="2" max="2" width="23.2857142857143" style="16" customWidth="1"/>
    <col min="3" max="3" width="22.8571428571429" style="16" customWidth="1"/>
    <col min="4" max="4" width="28.0357142857143" style="16" customWidth="1"/>
    <col min="5" max="5" width="9" style="16"/>
    <col min="6" max="6" width="16.6071428571429" style="20" customWidth="1"/>
    <col min="7" max="8" width="9" style="16"/>
    <col min="9" max="9" width="11.25" style="16" customWidth="1"/>
    <col min="10" max="10" width="8.52678571428571" style="16" customWidth="1"/>
    <col min="11" max="11" width="19.5803571428571" style="16" customWidth="1"/>
    <col min="12" max="12" width="14.75" style="16" customWidth="1"/>
    <col min="13" max="13" width="22.8303571428571" style="21" customWidth="1"/>
    <col min="14" max="14" width="19.1607142857143" style="22" customWidth="1"/>
    <col min="15" max="15" width="21.75" style="23" customWidth="1"/>
    <col min="16" max="16" width="24.4285714285714" style="16" customWidth="1"/>
    <col min="17" max="17" width="10.8303571428571" style="16" customWidth="1"/>
    <col min="18" max="18" width="12.7857142857143" style="16"/>
    <col min="19" max="19" width="9" style="16"/>
    <col min="20" max="20" width="12.7857142857143" style="16"/>
    <col min="21" max="16384" width="9" style="16"/>
  </cols>
  <sheetData>
    <row r="1" s="14" customFormat="1" spans="1:16">
      <c r="A1" s="14" t="s">
        <v>36</v>
      </c>
      <c r="B1" s="14" t="s">
        <v>37</v>
      </c>
      <c r="C1" s="14" t="s">
        <v>38</v>
      </c>
      <c r="D1" s="14" t="s">
        <v>0</v>
      </c>
      <c r="E1" s="14" t="s">
        <v>39</v>
      </c>
      <c r="F1" s="30" t="s">
        <v>1</v>
      </c>
      <c r="G1" s="14" t="s">
        <v>40</v>
      </c>
      <c r="H1" s="14" t="s">
        <v>41</v>
      </c>
      <c r="I1" s="14" t="s">
        <v>42</v>
      </c>
      <c r="J1" s="14" t="s">
        <v>43</v>
      </c>
      <c r="K1" s="14" t="s">
        <v>44</v>
      </c>
      <c r="L1" s="14" t="s">
        <v>45</v>
      </c>
      <c r="M1" s="40" t="s">
        <v>46</v>
      </c>
      <c r="N1" s="41" t="s">
        <v>47</v>
      </c>
      <c r="O1" s="14" t="s">
        <v>48</v>
      </c>
      <c r="P1" s="14" t="s">
        <v>49</v>
      </c>
    </row>
    <row r="2" s="14" customFormat="1" spans="1:16">
      <c r="A2" s="24">
        <v>15113735</v>
      </c>
      <c r="B2" s="24" t="s">
        <v>50</v>
      </c>
      <c r="C2" s="24" t="s">
        <v>51</v>
      </c>
      <c r="D2" s="24" t="s">
        <v>18</v>
      </c>
      <c r="E2" s="24" t="s">
        <v>52</v>
      </c>
      <c r="F2" s="24" t="s">
        <v>19</v>
      </c>
      <c r="G2" s="24" t="s">
        <v>53</v>
      </c>
      <c r="H2" s="31">
        <v>0.329166666666667</v>
      </c>
      <c r="I2" s="31">
        <v>0.552083333333333</v>
      </c>
      <c r="J2" s="31">
        <v>0.222222222222222</v>
      </c>
      <c r="L2" s="37">
        <f>HOUR($J2)+MINUTE($J2)/60</f>
        <v>5.33333333333333</v>
      </c>
      <c r="M2" s="21">
        <f>$L2-$K2</f>
        <v>5.33333333333333</v>
      </c>
      <c r="N2" s="22">
        <f>M2</f>
        <v>5.33333333333333</v>
      </c>
      <c r="O2" s="42">
        <f>D72</f>
        <v>36.9</v>
      </c>
      <c r="P2" s="43">
        <f t="shared" ref="P2:P23" si="0">O2*N2</f>
        <v>196.8</v>
      </c>
    </row>
    <row r="3" s="15" customFormat="1" spans="1:16">
      <c r="A3" s="25">
        <v>2105105606</v>
      </c>
      <c r="B3" s="25" t="s">
        <v>54</v>
      </c>
      <c r="C3" s="25" t="s">
        <v>55</v>
      </c>
      <c r="D3" s="25" t="s">
        <v>25</v>
      </c>
      <c r="E3" s="25" t="s">
        <v>52</v>
      </c>
      <c r="F3" s="25" t="s">
        <v>19</v>
      </c>
      <c r="G3" s="25" t="s">
        <v>53</v>
      </c>
      <c r="H3" s="32">
        <v>0.427083333333333</v>
      </c>
      <c r="I3" s="32">
        <v>0.561805555555556</v>
      </c>
      <c r="J3" s="32">
        <v>0.134027777777778</v>
      </c>
      <c r="L3" s="38">
        <f>HOUR($J3)+MINUTE($J3)/60</f>
        <v>3.21666666666667</v>
      </c>
      <c r="M3" s="44">
        <f>$L3-$K3</f>
        <v>3.21666666666667</v>
      </c>
      <c r="N3" s="45">
        <f>M3</f>
        <v>3.21666666666667</v>
      </c>
      <c r="O3" s="46">
        <f>C72</f>
        <v>34.44</v>
      </c>
      <c r="P3" s="47">
        <f t="shared" si="0"/>
        <v>110.782</v>
      </c>
    </row>
    <row r="4" s="16" customFormat="1" spans="1:16">
      <c r="A4" s="26">
        <v>15113735</v>
      </c>
      <c r="B4" s="26" t="s">
        <v>50</v>
      </c>
      <c r="C4" s="26" t="s">
        <v>51</v>
      </c>
      <c r="D4" s="26" t="s">
        <v>18</v>
      </c>
      <c r="E4" s="26" t="s">
        <v>52</v>
      </c>
      <c r="F4" s="26" t="s">
        <v>5</v>
      </c>
      <c r="G4" s="26" t="s">
        <v>56</v>
      </c>
      <c r="H4" s="33">
        <v>0.329861111111111</v>
      </c>
      <c r="I4" s="33">
        <v>0.760416666666667</v>
      </c>
      <c r="J4" s="33">
        <v>0.429861111111111</v>
      </c>
      <c r="L4" s="37">
        <f t="shared" ref="L4:L23" si="1">HOUR($J4)+MINUTE($J4)/60</f>
        <v>10.3166666666667</v>
      </c>
      <c r="M4" s="21">
        <f t="shared" ref="M4:M23" si="2">$L4-$K4</f>
        <v>10.3166666666667</v>
      </c>
      <c r="N4" s="22">
        <f t="shared" ref="N4:N23" si="3">M4</f>
        <v>10.3166666666667</v>
      </c>
      <c r="O4" s="23">
        <f>D72</f>
        <v>36.9</v>
      </c>
      <c r="P4" s="43">
        <f t="shared" si="0"/>
        <v>380.685000000001</v>
      </c>
    </row>
    <row r="5" s="16" customFormat="1" spans="1:16">
      <c r="A5" s="26">
        <v>15197673</v>
      </c>
      <c r="B5" s="26" t="s">
        <v>57</v>
      </c>
      <c r="C5" s="26" t="s">
        <v>58</v>
      </c>
      <c r="D5" s="26" t="s">
        <v>10</v>
      </c>
      <c r="E5" s="26" t="s">
        <v>52</v>
      </c>
      <c r="F5" s="26" t="s">
        <v>5</v>
      </c>
      <c r="G5" s="26" t="s">
        <v>56</v>
      </c>
      <c r="H5" s="33">
        <v>0.379861111111111</v>
      </c>
      <c r="I5" s="33">
        <v>0.710416666666667</v>
      </c>
      <c r="J5" s="33">
        <v>0.330555555555556</v>
      </c>
      <c r="L5" s="37">
        <f t="shared" si="1"/>
        <v>7.93333333333333</v>
      </c>
      <c r="M5" s="21">
        <f t="shared" si="2"/>
        <v>7.93333333333333</v>
      </c>
      <c r="N5" s="22">
        <f t="shared" si="3"/>
        <v>7.93333333333333</v>
      </c>
      <c r="O5" s="23">
        <f>C72</f>
        <v>34.44</v>
      </c>
      <c r="P5" s="43">
        <f t="shared" si="0"/>
        <v>273.224</v>
      </c>
    </row>
    <row r="6" s="16" customFormat="1" ht="17" customHeight="1" spans="1:16">
      <c r="A6" s="26">
        <v>15200903</v>
      </c>
      <c r="B6" s="26" t="s">
        <v>59</v>
      </c>
      <c r="C6" s="26" t="s">
        <v>60</v>
      </c>
      <c r="D6" s="26" t="s">
        <v>9</v>
      </c>
      <c r="E6" s="26" t="s">
        <v>52</v>
      </c>
      <c r="F6" s="26" t="s">
        <v>5</v>
      </c>
      <c r="G6" s="26" t="s">
        <v>56</v>
      </c>
      <c r="H6" s="33">
        <v>0.343055555555556</v>
      </c>
      <c r="I6" s="33">
        <v>0.796527777777778</v>
      </c>
      <c r="J6" s="33">
        <v>0.452777777777778</v>
      </c>
      <c r="L6" s="37">
        <f t="shared" si="1"/>
        <v>10.8666666666667</v>
      </c>
      <c r="M6" s="21">
        <f t="shared" si="2"/>
        <v>10.8666666666667</v>
      </c>
      <c r="N6" s="22">
        <f t="shared" si="3"/>
        <v>10.8666666666667</v>
      </c>
      <c r="O6" s="23">
        <f>D72</f>
        <v>36.9</v>
      </c>
      <c r="P6" s="43">
        <f t="shared" si="0"/>
        <v>400.980000000001</v>
      </c>
    </row>
    <row r="7" s="16" customFormat="1" spans="1:16">
      <c r="A7" s="26">
        <v>2025082101</v>
      </c>
      <c r="B7" s="26" t="s">
        <v>61</v>
      </c>
      <c r="C7" s="26" t="s">
        <v>62</v>
      </c>
      <c r="D7" s="26" t="s">
        <v>21</v>
      </c>
      <c r="E7" s="26" t="s">
        <v>52</v>
      </c>
      <c r="F7" s="26" t="s">
        <v>5</v>
      </c>
      <c r="G7" s="26" t="s">
        <v>56</v>
      </c>
      <c r="H7" s="33">
        <v>0.363888888888889</v>
      </c>
      <c r="I7" s="33">
        <v>0.707638888888889</v>
      </c>
      <c r="J7" s="33">
        <v>0.343055555555556</v>
      </c>
      <c r="L7" s="37">
        <f t="shared" si="1"/>
        <v>8.23333333333333</v>
      </c>
      <c r="M7" s="21">
        <f t="shared" si="2"/>
        <v>8.23333333333333</v>
      </c>
      <c r="N7" s="22">
        <f t="shared" si="3"/>
        <v>8.23333333333333</v>
      </c>
      <c r="O7" s="23">
        <f>C72</f>
        <v>34.44</v>
      </c>
      <c r="P7" s="43">
        <f t="shared" si="0"/>
        <v>283.556</v>
      </c>
    </row>
    <row r="8" s="16" customFormat="1" spans="1:16">
      <c r="A8" s="26">
        <v>2025082102</v>
      </c>
      <c r="B8" s="26" t="s">
        <v>63</v>
      </c>
      <c r="C8" s="26" t="s">
        <v>64</v>
      </c>
      <c r="D8" s="26" t="s">
        <v>12</v>
      </c>
      <c r="E8" s="26" t="s">
        <v>52</v>
      </c>
      <c r="F8" s="26" t="s">
        <v>5</v>
      </c>
      <c r="G8" s="26" t="s">
        <v>56</v>
      </c>
      <c r="H8" s="33">
        <v>0.359027777777778</v>
      </c>
      <c r="I8" s="33">
        <v>0.708333333333333</v>
      </c>
      <c r="J8" s="33">
        <v>0.348611111111111</v>
      </c>
      <c r="K8" s="34"/>
      <c r="L8" s="37">
        <f t="shared" si="1"/>
        <v>8.36666666666667</v>
      </c>
      <c r="M8" s="21">
        <f t="shared" si="2"/>
        <v>8.36666666666667</v>
      </c>
      <c r="N8" s="22">
        <f t="shared" si="3"/>
        <v>8.36666666666667</v>
      </c>
      <c r="O8" s="23">
        <f>C72</f>
        <v>34.44</v>
      </c>
      <c r="P8" s="43">
        <f t="shared" si="0"/>
        <v>288.148</v>
      </c>
    </row>
    <row r="9" s="16" customFormat="1" spans="1:16">
      <c r="A9" s="26">
        <v>2025082201</v>
      </c>
      <c r="B9" s="26" t="s">
        <v>65</v>
      </c>
      <c r="C9" s="26" t="s">
        <v>32</v>
      </c>
      <c r="D9" s="26" t="s">
        <v>32</v>
      </c>
      <c r="E9" s="26" t="s">
        <v>52</v>
      </c>
      <c r="F9" s="26" t="s">
        <v>5</v>
      </c>
      <c r="G9" s="26" t="s">
        <v>56</v>
      </c>
      <c r="H9" s="33">
        <v>0.364583333333333</v>
      </c>
      <c r="I9" s="33">
        <v>0.707638888888889</v>
      </c>
      <c r="J9" s="33">
        <v>0.343055555555556</v>
      </c>
      <c r="K9" s="34"/>
      <c r="L9" s="37">
        <f t="shared" si="1"/>
        <v>8.23333333333333</v>
      </c>
      <c r="M9" s="21">
        <f t="shared" si="2"/>
        <v>8.23333333333333</v>
      </c>
      <c r="N9" s="22">
        <f t="shared" si="3"/>
        <v>8.23333333333333</v>
      </c>
      <c r="O9" s="23">
        <f>C72</f>
        <v>34.44</v>
      </c>
      <c r="P9" s="43">
        <f t="shared" si="0"/>
        <v>283.556</v>
      </c>
    </row>
    <row r="10" s="16" customFormat="1" spans="1:16">
      <c r="A10" s="26">
        <v>2025082702</v>
      </c>
      <c r="B10" s="26" t="s">
        <v>66</v>
      </c>
      <c r="C10" s="26" t="s">
        <v>67</v>
      </c>
      <c r="D10" s="26" t="s">
        <v>15</v>
      </c>
      <c r="E10" s="26" t="s">
        <v>52</v>
      </c>
      <c r="F10" s="26" t="s">
        <v>5</v>
      </c>
      <c r="G10" s="26" t="s">
        <v>56</v>
      </c>
      <c r="H10" s="33">
        <v>0.40625</v>
      </c>
      <c r="I10" s="33">
        <v>0.711805555555556</v>
      </c>
      <c r="J10" s="33">
        <v>0.304861111111111</v>
      </c>
      <c r="K10" s="34"/>
      <c r="L10" s="37">
        <f t="shared" si="1"/>
        <v>7.31666666666667</v>
      </c>
      <c r="M10" s="21">
        <f t="shared" si="2"/>
        <v>7.31666666666667</v>
      </c>
      <c r="N10" s="22">
        <f t="shared" si="3"/>
        <v>7.31666666666667</v>
      </c>
      <c r="O10" s="23">
        <f>C72</f>
        <v>34.44</v>
      </c>
      <c r="P10" s="43">
        <f t="shared" si="0"/>
        <v>251.986</v>
      </c>
    </row>
    <row r="11" s="16" customFormat="1" spans="1:16">
      <c r="A11" s="26">
        <v>2025100902</v>
      </c>
      <c r="B11" s="26" t="s">
        <v>30</v>
      </c>
      <c r="C11" s="26" t="s">
        <v>68</v>
      </c>
      <c r="D11" s="26" t="s">
        <v>30</v>
      </c>
      <c r="E11" s="26" t="s">
        <v>52</v>
      </c>
      <c r="F11" s="26" t="s">
        <v>5</v>
      </c>
      <c r="G11" s="26" t="s">
        <v>56</v>
      </c>
      <c r="H11" s="33">
        <v>0.354166666666667</v>
      </c>
      <c r="I11" s="33">
        <v>0.706944444444444</v>
      </c>
      <c r="J11" s="33">
        <v>0.352777777777778</v>
      </c>
      <c r="K11" s="34"/>
      <c r="L11" s="37">
        <f t="shared" si="1"/>
        <v>8.46666666666667</v>
      </c>
      <c r="M11" s="21">
        <f t="shared" si="2"/>
        <v>8.46666666666667</v>
      </c>
      <c r="N11" s="22">
        <f t="shared" si="3"/>
        <v>8.46666666666667</v>
      </c>
      <c r="O11" s="23">
        <f>C72</f>
        <v>34.44</v>
      </c>
      <c r="P11" s="43">
        <f t="shared" si="0"/>
        <v>291.592</v>
      </c>
    </row>
    <row r="12" s="16" customFormat="1" spans="1:16">
      <c r="A12" s="26">
        <v>2025100903</v>
      </c>
      <c r="B12" s="26" t="s">
        <v>69</v>
      </c>
      <c r="C12" s="26" t="s">
        <v>26</v>
      </c>
      <c r="D12" s="26" t="s">
        <v>26</v>
      </c>
      <c r="E12" s="26" t="s">
        <v>52</v>
      </c>
      <c r="F12" s="26" t="s">
        <v>5</v>
      </c>
      <c r="G12" s="26" t="s">
        <v>56</v>
      </c>
      <c r="H12" s="33">
        <v>0.395833333333333</v>
      </c>
      <c r="I12" s="33">
        <v>0.707638888888889</v>
      </c>
      <c r="J12" s="33">
        <v>0.311111111111111</v>
      </c>
      <c r="K12" s="34"/>
      <c r="L12" s="37">
        <f t="shared" si="1"/>
        <v>7.46666666666667</v>
      </c>
      <c r="M12" s="21">
        <f t="shared" si="2"/>
        <v>7.46666666666667</v>
      </c>
      <c r="N12" s="22">
        <f t="shared" si="3"/>
        <v>7.46666666666667</v>
      </c>
      <c r="O12" s="23">
        <f>C72</f>
        <v>34.44</v>
      </c>
      <c r="P12" s="43">
        <f t="shared" si="0"/>
        <v>257.152</v>
      </c>
    </row>
    <row r="13" s="16" customFormat="1" spans="1:16">
      <c r="A13" s="26">
        <v>2105105603</v>
      </c>
      <c r="B13" s="26" t="s">
        <v>70</v>
      </c>
      <c r="C13" s="26" t="s">
        <v>71</v>
      </c>
      <c r="D13" s="26" t="s">
        <v>34</v>
      </c>
      <c r="E13" s="26" t="s">
        <v>52</v>
      </c>
      <c r="F13" s="26" t="s">
        <v>5</v>
      </c>
      <c r="G13" s="26" t="s">
        <v>56</v>
      </c>
      <c r="H13" s="33">
        <v>0.611111111111111</v>
      </c>
      <c r="I13" s="33">
        <v>0.672916666666667</v>
      </c>
      <c r="J13" s="33">
        <v>0.0618055555555556</v>
      </c>
      <c r="K13" s="34"/>
      <c r="L13" s="37">
        <f t="shared" si="1"/>
        <v>1.48333333333333</v>
      </c>
      <c r="M13" s="21">
        <f t="shared" si="2"/>
        <v>1.48333333333333</v>
      </c>
      <c r="N13" s="22">
        <f t="shared" si="3"/>
        <v>1.48333333333333</v>
      </c>
      <c r="O13" s="23">
        <f>C72</f>
        <v>34.44</v>
      </c>
      <c r="P13" s="43">
        <f t="shared" si="0"/>
        <v>51.0859999999999</v>
      </c>
    </row>
    <row r="14" s="16" customFormat="1" spans="1:16">
      <c r="A14" s="26">
        <v>2105105606</v>
      </c>
      <c r="B14" s="26" t="s">
        <v>54</v>
      </c>
      <c r="C14" s="26" t="s">
        <v>55</v>
      </c>
      <c r="D14" s="26" t="s">
        <v>25</v>
      </c>
      <c r="E14" s="26" t="s">
        <v>52</v>
      </c>
      <c r="F14" s="26" t="s">
        <v>5</v>
      </c>
      <c r="G14" s="26" t="s">
        <v>56</v>
      </c>
      <c r="H14" s="33">
        <v>0.367361111111111</v>
      </c>
      <c r="I14" s="33">
        <v>0.6875</v>
      </c>
      <c r="J14" s="33">
        <v>0.320138888888889</v>
      </c>
      <c r="L14" s="37">
        <f t="shared" si="1"/>
        <v>7.68333333333333</v>
      </c>
      <c r="M14" s="21">
        <f t="shared" si="2"/>
        <v>7.68333333333333</v>
      </c>
      <c r="N14" s="22">
        <f t="shared" si="3"/>
        <v>7.68333333333333</v>
      </c>
      <c r="O14" s="23">
        <f>C72</f>
        <v>34.44</v>
      </c>
      <c r="P14" s="43">
        <f t="shared" si="0"/>
        <v>264.614</v>
      </c>
    </row>
    <row r="15" s="16" customFormat="1" spans="1:16">
      <c r="A15" s="26">
        <v>2105105607</v>
      </c>
      <c r="B15" s="26" t="s">
        <v>72</v>
      </c>
      <c r="C15" s="26" t="s">
        <v>16</v>
      </c>
      <c r="D15" s="26" t="s">
        <v>16</v>
      </c>
      <c r="E15" s="26" t="s">
        <v>52</v>
      </c>
      <c r="F15" s="26" t="s">
        <v>5</v>
      </c>
      <c r="G15" s="26" t="s">
        <v>56</v>
      </c>
      <c r="H15" s="33">
        <v>0.458333333333333</v>
      </c>
      <c r="I15" s="33">
        <v>0.709027777777778</v>
      </c>
      <c r="J15" s="33">
        <v>0.250694444444444</v>
      </c>
      <c r="L15" s="37">
        <f t="shared" si="1"/>
        <v>6.01666666666667</v>
      </c>
      <c r="M15" s="21">
        <f t="shared" si="2"/>
        <v>6.01666666666667</v>
      </c>
      <c r="N15" s="22">
        <f t="shared" si="3"/>
        <v>6.01666666666667</v>
      </c>
      <c r="O15" s="23">
        <f>C72</f>
        <v>34.44</v>
      </c>
      <c r="P15" s="43">
        <f t="shared" si="0"/>
        <v>207.214</v>
      </c>
    </row>
    <row r="16" s="17" customFormat="1" spans="1:16">
      <c r="A16" s="27"/>
      <c r="B16" s="24" t="s">
        <v>4</v>
      </c>
      <c r="C16" s="24" t="s">
        <v>73</v>
      </c>
      <c r="D16" s="24" t="s">
        <v>4</v>
      </c>
      <c r="E16" s="26" t="s">
        <v>52</v>
      </c>
      <c r="F16" s="26" t="s">
        <v>5</v>
      </c>
      <c r="G16" s="26" t="s">
        <v>56</v>
      </c>
      <c r="H16" s="34">
        <v>0.375</v>
      </c>
      <c r="I16" s="34">
        <v>0.5</v>
      </c>
      <c r="J16" s="34">
        <v>0.125</v>
      </c>
      <c r="L16" s="37">
        <f t="shared" si="1"/>
        <v>3</v>
      </c>
      <c r="M16" s="21">
        <f t="shared" si="2"/>
        <v>3</v>
      </c>
      <c r="N16" s="22">
        <f t="shared" si="3"/>
        <v>3</v>
      </c>
      <c r="O16" s="48">
        <f>C72</f>
        <v>34.44</v>
      </c>
      <c r="P16" s="43">
        <f t="shared" si="0"/>
        <v>103.32</v>
      </c>
    </row>
    <row r="17" s="16" customFormat="1" spans="1:16">
      <c r="A17" s="27"/>
      <c r="B17" s="26" t="s">
        <v>24</v>
      </c>
      <c r="C17" s="26" t="s">
        <v>24</v>
      </c>
      <c r="D17" s="26" t="s">
        <v>24</v>
      </c>
      <c r="E17" s="26" t="s">
        <v>52</v>
      </c>
      <c r="F17" s="26" t="s">
        <v>5</v>
      </c>
      <c r="G17" s="26" t="s">
        <v>56</v>
      </c>
      <c r="H17" s="34">
        <v>0.375</v>
      </c>
      <c r="I17" s="34">
        <v>0.5</v>
      </c>
      <c r="J17" s="34">
        <v>0.125</v>
      </c>
      <c r="L17" s="37">
        <f t="shared" si="1"/>
        <v>3</v>
      </c>
      <c r="M17" s="21">
        <f t="shared" si="2"/>
        <v>3</v>
      </c>
      <c r="N17" s="22">
        <f t="shared" si="3"/>
        <v>3</v>
      </c>
      <c r="O17" s="23">
        <f>C72</f>
        <v>34.44</v>
      </c>
      <c r="P17" s="43">
        <f t="shared" si="0"/>
        <v>103.32</v>
      </c>
    </row>
    <row r="18" s="16" customFormat="1" spans="1:16">
      <c r="A18" s="27"/>
      <c r="B18" s="24" t="s">
        <v>74</v>
      </c>
      <c r="C18" s="24" t="s">
        <v>75</v>
      </c>
      <c r="D18" s="24" t="s">
        <v>17</v>
      </c>
      <c r="E18" s="26" t="s">
        <v>52</v>
      </c>
      <c r="F18" s="26" t="s">
        <v>5</v>
      </c>
      <c r="G18" s="26" t="s">
        <v>56</v>
      </c>
      <c r="H18" s="34">
        <v>0.354166666666667</v>
      </c>
      <c r="I18" s="34">
        <v>0.5</v>
      </c>
      <c r="J18" s="34">
        <v>0.145833333333333</v>
      </c>
      <c r="L18" s="37">
        <f t="shared" si="1"/>
        <v>3.5</v>
      </c>
      <c r="M18" s="21">
        <f t="shared" si="2"/>
        <v>3.5</v>
      </c>
      <c r="N18" s="22">
        <f t="shared" si="3"/>
        <v>3.5</v>
      </c>
      <c r="O18" s="23">
        <f>C72</f>
        <v>34.44</v>
      </c>
      <c r="P18" s="43">
        <f t="shared" si="0"/>
        <v>120.54</v>
      </c>
    </row>
    <row r="19" s="16" customFormat="1" spans="1:16">
      <c r="A19" s="27"/>
      <c r="B19" s="27" t="s">
        <v>33</v>
      </c>
      <c r="C19" s="27" t="s">
        <v>33</v>
      </c>
      <c r="D19" s="27" t="s">
        <v>33</v>
      </c>
      <c r="E19" s="26" t="s">
        <v>52</v>
      </c>
      <c r="F19" s="26" t="s">
        <v>5</v>
      </c>
      <c r="G19" s="26" t="s">
        <v>56</v>
      </c>
      <c r="H19" s="34">
        <v>0.354166666666667</v>
      </c>
      <c r="I19" s="34">
        <v>0.5</v>
      </c>
      <c r="J19" s="34">
        <v>0.145833333333333</v>
      </c>
      <c r="L19" s="37">
        <f t="shared" si="1"/>
        <v>3.5</v>
      </c>
      <c r="M19" s="21">
        <f t="shared" si="2"/>
        <v>3.5</v>
      </c>
      <c r="N19" s="22">
        <f t="shared" si="3"/>
        <v>3.5</v>
      </c>
      <c r="O19" s="23">
        <f>C72</f>
        <v>34.44</v>
      </c>
      <c r="P19" s="43">
        <f t="shared" si="0"/>
        <v>120.54</v>
      </c>
    </row>
    <row r="20" s="16" customFormat="1" spans="1:16">
      <c r="A20" s="27"/>
      <c r="B20" s="24" t="s">
        <v>76</v>
      </c>
      <c r="C20" s="24" t="s">
        <v>61</v>
      </c>
      <c r="D20" s="24" t="s">
        <v>31</v>
      </c>
      <c r="E20" s="26" t="s">
        <v>52</v>
      </c>
      <c r="F20" s="26" t="s">
        <v>5</v>
      </c>
      <c r="G20" s="26" t="s">
        <v>56</v>
      </c>
      <c r="H20" s="34">
        <v>0.354166666666667</v>
      </c>
      <c r="I20" s="34">
        <v>0.5</v>
      </c>
      <c r="J20" s="34">
        <v>0.145833333333333</v>
      </c>
      <c r="L20" s="37">
        <f t="shared" si="1"/>
        <v>3.5</v>
      </c>
      <c r="M20" s="21">
        <f t="shared" si="2"/>
        <v>3.5</v>
      </c>
      <c r="N20" s="22">
        <f t="shared" si="3"/>
        <v>3.5</v>
      </c>
      <c r="O20" s="23">
        <f>C72</f>
        <v>34.44</v>
      </c>
      <c r="P20" s="43">
        <f t="shared" si="0"/>
        <v>120.54</v>
      </c>
    </row>
    <row r="21" s="18" customFormat="1" spans="1:16">
      <c r="A21" s="28"/>
      <c r="B21" s="28" t="s">
        <v>28</v>
      </c>
      <c r="C21" s="28" t="s">
        <v>28</v>
      </c>
      <c r="D21" s="28" t="s">
        <v>28</v>
      </c>
      <c r="E21" s="25" t="s">
        <v>52</v>
      </c>
      <c r="F21" s="25" t="s">
        <v>5</v>
      </c>
      <c r="G21" s="25" t="s">
        <v>56</v>
      </c>
      <c r="H21" s="35">
        <v>0.354166666666667</v>
      </c>
      <c r="I21" s="35">
        <v>0.666666666666667</v>
      </c>
      <c r="J21" s="35">
        <v>0.3125</v>
      </c>
      <c r="L21" s="37">
        <f t="shared" si="1"/>
        <v>7.5</v>
      </c>
      <c r="M21" s="21">
        <f t="shared" si="2"/>
        <v>7.5</v>
      </c>
      <c r="N21" s="22">
        <f t="shared" si="3"/>
        <v>7.5</v>
      </c>
      <c r="O21" s="23">
        <f>C72</f>
        <v>34.44</v>
      </c>
      <c r="P21" s="43">
        <f t="shared" si="0"/>
        <v>258.3</v>
      </c>
    </row>
    <row r="22" s="16" customFormat="1" spans="1:16">
      <c r="A22" s="24">
        <v>15113735</v>
      </c>
      <c r="B22" s="24" t="s">
        <v>50</v>
      </c>
      <c r="C22" s="24" t="s">
        <v>51</v>
      </c>
      <c r="D22" s="24" t="s">
        <v>18</v>
      </c>
      <c r="E22" s="24" t="s">
        <v>52</v>
      </c>
      <c r="F22" s="24" t="s">
        <v>20</v>
      </c>
      <c r="G22" s="24" t="s">
        <v>77</v>
      </c>
      <c r="H22" s="31">
        <v>0.329861111111111</v>
      </c>
      <c r="I22" s="31">
        <v>0.75</v>
      </c>
      <c r="J22" s="31">
        <v>0.420138888888889</v>
      </c>
      <c r="L22" s="39">
        <f t="shared" si="1"/>
        <v>10.0833333333333</v>
      </c>
      <c r="M22" s="49">
        <f t="shared" si="2"/>
        <v>10.0833333333333</v>
      </c>
      <c r="N22" s="50">
        <f t="shared" si="3"/>
        <v>10.0833333333333</v>
      </c>
      <c r="O22" s="51">
        <f>C73</f>
        <v>43.05</v>
      </c>
      <c r="P22" s="52">
        <f t="shared" si="0"/>
        <v>434.0875</v>
      </c>
    </row>
    <row r="23" s="18" customFormat="1" spans="1:16">
      <c r="A23" s="25">
        <v>2025100903</v>
      </c>
      <c r="B23" s="25" t="s">
        <v>69</v>
      </c>
      <c r="C23" s="25" t="s">
        <v>26</v>
      </c>
      <c r="D23" s="25" t="s">
        <v>26</v>
      </c>
      <c r="E23" s="25" t="s">
        <v>52</v>
      </c>
      <c r="F23" s="25" t="s">
        <v>20</v>
      </c>
      <c r="G23" s="25" t="s">
        <v>77</v>
      </c>
      <c r="H23" s="32">
        <v>0.331944444444444</v>
      </c>
      <c r="I23" s="32">
        <v>0.577777777777778</v>
      </c>
      <c r="J23" s="32">
        <v>0.245138888888889</v>
      </c>
      <c r="L23" s="38">
        <f t="shared" si="1"/>
        <v>5.88333333333333</v>
      </c>
      <c r="M23" s="44">
        <f t="shared" si="2"/>
        <v>5.88333333333333</v>
      </c>
      <c r="N23" s="45">
        <f t="shared" si="3"/>
        <v>5.88333333333333</v>
      </c>
      <c r="O23" s="53">
        <f>C74</f>
        <v>86.1</v>
      </c>
      <c r="P23" s="47">
        <f t="shared" si="0"/>
        <v>506.555</v>
      </c>
    </row>
    <row r="24" s="16" customFormat="1" spans="1:16">
      <c r="A24" s="24">
        <v>15113735</v>
      </c>
      <c r="B24" s="24" t="s">
        <v>50</v>
      </c>
      <c r="C24" s="24" t="s">
        <v>51</v>
      </c>
      <c r="D24" s="24" t="s">
        <v>18</v>
      </c>
      <c r="E24" s="24" t="s">
        <v>52</v>
      </c>
      <c r="F24" s="24" t="s">
        <v>6</v>
      </c>
      <c r="G24" s="24" t="s">
        <v>78</v>
      </c>
      <c r="H24" s="31">
        <v>0.329861111111111</v>
      </c>
      <c r="I24" s="31">
        <v>0.753472222222222</v>
      </c>
      <c r="J24" s="31">
        <v>0.422916666666667</v>
      </c>
      <c r="L24" s="37">
        <f t="shared" ref="L24:L37" si="4">HOUR($J24)+MINUTE($J24)/60</f>
        <v>10.15</v>
      </c>
      <c r="M24" s="21">
        <f t="shared" ref="M24:M37" si="5">$L24-$K24</f>
        <v>10.15</v>
      </c>
      <c r="N24" s="22">
        <f t="shared" ref="N24:N37" si="6">M24</f>
        <v>10.15</v>
      </c>
      <c r="O24" s="54">
        <f>D72</f>
        <v>36.9</v>
      </c>
      <c r="P24" s="43">
        <f>O24*N24</f>
        <v>374.535</v>
      </c>
    </row>
    <row r="25" s="16" customFormat="1" spans="1:16">
      <c r="A25" s="24">
        <v>15200903</v>
      </c>
      <c r="B25" s="24" t="s">
        <v>59</v>
      </c>
      <c r="C25" s="24" t="s">
        <v>60</v>
      </c>
      <c r="D25" s="24" t="s">
        <v>9</v>
      </c>
      <c r="E25" s="24" t="s">
        <v>52</v>
      </c>
      <c r="F25" s="24" t="s">
        <v>6</v>
      </c>
      <c r="G25" s="24" t="s">
        <v>78</v>
      </c>
      <c r="H25" s="31">
        <v>0.336805555555556</v>
      </c>
      <c r="I25" s="31">
        <v>0.805555555555556</v>
      </c>
      <c r="J25" s="31">
        <v>0.468055555555556</v>
      </c>
      <c r="L25" s="37">
        <f t="shared" si="4"/>
        <v>11.2333333333333</v>
      </c>
      <c r="M25" s="21">
        <f t="shared" si="5"/>
        <v>11.2333333333333</v>
      </c>
      <c r="N25" s="22">
        <f t="shared" si="6"/>
        <v>11.2333333333333</v>
      </c>
      <c r="O25" s="54">
        <f>D72</f>
        <v>36.9</v>
      </c>
      <c r="P25" s="43">
        <f>O25*N25</f>
        <v>414.51</v>
      </c>
    </row>
    <row r="26" s="16" customFormat="1" spans="1:16">
      <c r="A26" s="24">
        <v>2025082101</v>
      </c>
      <c r="B26" s="24" t="s">
        <v>61</v>
      </c>
      <c r="C26" s="24" t="s">
        <v>62</v>
      </c>
      <c r="D26" s="24" t="s">
        <v>21</v>
      </c>
      <c r="E26" s="24" t="s">
        <v>52</v>
      </c>
      <c r="F26" s="24" t="s">
        <v>6</v>
      </c>
      <c r="G26" s="24" t="s">
        <v>78</v>
      </c>
      <c r="H26" s="31">
        <v>0.464583333333333</v>
      </c>
      <c r="I26" s="31">
        <v>0.718055555555556</v>
      </c>
      <c r="J26" s="31">
        <v>0.253472222222222</v>
      </c>
      <c r="L26" s="37">
        <f t="shared" si="4"/>
        <v>6.08333333333333</v>
      </c>
      <c r="M26" s="21">
        <f t="shared" si="5"/>
        <v>6.08333333333333</v>
      </c>
      <c r="N26" s="22">
        <f t="shared" si="6"/>
        <v>6.08333333333333</v>
      </c>
      <c r="O26" s="54">
        <f>C72</f>
        <v>34.44</v>
      </c>
      <c r="P26" s="43">
        <f>O26*N26</f>
        <v>209.51</v>
      </c>
    </row>
    <row r="27" s="16" customFormat="1" spans="1:16">
      <c r="A27" s="24">
        <v>2025082102</v>
      </c>
      <c r="B27" s="24" t="s">
        <v>63</v>
      </c>
      <c r="C27" s="24" t="s">
        <v>64</v>
      </c>
      <c r="D27" s="24" t="s">
        <v>12</v>
      </c>
      <c r="E27" s="24" t="s">
        <v>52</v>
      </c>
      <c r="F27" s="24" t="s">
        <v>6</v>
      </c>
      <c r="G27" s="24" t="s">
        <v>78</v>
      </c>
      <c r="H27" s="31">
        <v>0.461805555555556</v>
      </c>
      <c r="I27" s="31">
        <v>0.718055555555556</v>
      </c>
      <c r="J27" s="31">
        <v>0.25625</v>
      </c>
      <c r="L27" s="37">
        <f t="shared" si="4"/>
        <v>6.15</v>
      </c>
      <c r="M27" s="21">
        <f t="shared" si="5"/>
        <v>6.15</v>
      </c>
      <c r="N27" s="22">
        <f t="shared" si="6"/>
        <v>6.15</v>
      </c>
      <c r="O27" s="54">
        <f>C72</f>
        <v>34.44</v>
      </c>
      <c r="P27" s="43">
        <f>O27*N27</f>
        <v>211.806</v>
      </c>
    </row>
    <row r="28" s="16" customFormat="1" spans="1:16">
      <c r="A28" s="24">
        <v>2025082201</v>
      </c>
      <c r="B28" s="24" t="s">
        <v>65</v>
      </c>
      <c r="C28" s="24" t="s">
        <v>32</v>
      </c>
      <c r="D28" s="24" t="s">
        <v>32</v>
      </c>
      <c r="E28" s="24" t="s">
        <v>52</v>
      </c>
      <c r="F28" s="24" t="s">
        <v>6</v>
      </c>
      <c r="G28" s="24" t="s">
        <v>78</v>
      </c>
      <c r="H28" s="31">
        <v>0.465277777777778</v>
      </c>
      <c r="I28" s="31">
        <v>0.718055555555556</v>
      </c>
      <c r="J28" s="31">
        <v>0.252777777777778</v>
      </c>
      <c r="L28" s="37">
        <f t="shared" si="4"/>
        <v>6.06666666666667</v>
      </c>
      <c r="M28" s="21">
        <f t="shared" si="5"/>
        <v>6.06666666666667</v>
      </c>
      <c r="N28" s="22">
        <f t="shared" si="6"/>
        <v>6.06666666666667</v>
      </c>
      <c r="O28" s="54">
        <f>C72</f>
        <v>34.44</v>
      </c>
      <c r="P28" s="43">
        <f>O28*N28</f>
        <v>208.936</v>
      </c>
    </row>
    <row r="29" s="16" customFormat="1" spans="1:16">
      <c r="A29" s="24">
        <v>2025082702</v>
      </c>
      <c r="B29" s="24" t="s">
        <v>66</v>
      </c>
      <c r="C29" s="24" t="s">
        <v>67</v>
      </c>
      <c r="D29" s="24" t="s">
        <v>15</v>
      </c>
      <c r="E29" s="24" t="s">
        <v>52</v>
      </c>
      <c r="F29" s="24" t="s">
        <v>6</v>
      </c>
      <c r="G29" s="24" t="s">
        <v>78</v>
      </c>
      <c r="H29" s="31">
        <v>0.459027777777778</v>
      </c>
      <c r="I29" s="31">
        <v>0.718055555555556</v>
      </c>
      <c r="J29" s="31">
        <v>0.258333333333333</v>
      </c>
      <c r="L29" s="37">
        <f t="shared" si="4"/>
        <v>6.2</v>
      </c>
      <c r="M29" s="21">
        <f t="shared" si="5"/>
        <v>6.2</v>
      </c>
      <c r="N29" s="22">
        <f t="shared" si="6"/>
        <v>6.2</v>
      </c>
      <c r="O29" s="54">
        <f>C72</f>
        <v>34.44</v>
      </c>
      <c r="P29" s="43">
        <f>O29*N29</f>
        <v>213.528</v>
      </c>
    </row>
    <row r="30" s="16" customFormat="1" spans="1:16">
      <c r="A30" s="24">
        <v>2025100902</v>
      </c>
      <c r="B30" s="24" t="s">
        <v>30</v>
      </c>
      <c r="C30" s="24" t="s">
        <v>68</v>
      </c>
      <c r="D30" s="24" t="s">
        <v>30</v>
      </c>
      <c r="E30" s="24" t="s">
        <v>52</v>
      </c>
      <c r="F30" s="24" t="s">
        <v>6</v>
      </c>
      <c r="G30" s="24" t="s">
        <v>78</v>
      </c>
      <c r="H30" s="31">
        <v>0.454861111111111</v>
      </c>
      <c r="I30" s="31">
        <v>0.717361111111111</v>
      </c>
      <c r="J30" s="31">
        <v>0.261805555555556</v>
      </c>
      <c r="L30" s="37">
        <f t="shared" si="4"/>
        <v>6.28333333333333</v>
      </c>
      <c r="M30" s="21">
        <f t="shared" si="5"/>
        <v>6.28333333333333</v>
      </c>
      <c r="N30" s="22">
        <f t="shared" si="6"/>
        <v>6.28333333333333</v>
      </c>
      <c r="O30" s="54">
        <f>C72</f>
        <v>34.44</v>
      </c>
      <c r="P30" s="43">
        <f>O30*N30</f>
        <v>216.398</v>
      </c>
    </row>
    <row r="31" s="16" customFormat="1" spans="1:16">
      <c r="A31" s="24">
        <v>2025100903</v>
      </c>
      <c r="B31" s="24" t="s">
        <v>69</v>
      </c>
      <c r="C31" s="24" t="s">
        <v>26</v>
      </c>
      <c r="D31" s="24" t="s">
        <v>26</v>
      </c>
      <c r="E31" s="24" t="s">
        <v>52</v>
      </c>
      <c r="F31" s="24" t="s">
        <v>6</v>
      </c>
      <c r="G31" s="24" t="s">
        <v>78</v>
      </c>
      <c r="H31" s="31">
        <v>0.331944444444444</v>
      </c>
      <c r="I31" s="31">
        <v>0.718055555555556</v>
      </c>
      <c r="J31" s="31">
        <v>0.386111111111111</v>
      </c>
      <c r="K31" s="34"/>
      <c r="L31" s="37">
        <f t="shared" si="4"/>
        <v>9.26666666666667</v>
      </c>
      <c r="M31" s="21">
        <f t="shared" si="5"/>
        <v>9.26666666666667</v>
      </c>
      <c r="N31" s="22">
        <f t="shared" si="6"/>
        <v>9.26666666666667</v>
      </c>
      <c r="O31" s="54">
        <f>C72</f>
        <v>34.44</v>
      </c>
      <c r="P31" s="43">
        <f>O31*N31</f>
        <v>319.144</v>
      </c>
    </row>
    <row r="32" s="16" customFormat="1" spans="1:16">
      <c r="A32" s="24">
        <v>2105105605</v>
      </c>
      <c r="B32" s="24" t="s">
        <v>79</v>
      </c>
      <c r="C32" s="24" t="s">
        <v>80</v>
      </c>
      <c r="D32" s="24" t="s">
        <v>11</v>
      </c>
      <c r="E32" s="24" t="s">
        <v>52</v>
      </c>
      <c r="F32" s="24" t="s">
        <v>6</v>
      </c>
      <c r="G32" s="24" t="s">
        <v>78</v>
      </c>
      <c r="H32" s="31">
        <v>0.4625</v>
      </c>
      <c r="I32" s="31">
        <v>0.716666666666667</v>
      </c>
      <c r="J32" s="31">
        <v>0.253472222222222</v>
      </c>
      <c r="K32" s="34"/>
      <c r="L32" s="37">
        <f t="shared" si="4"/>
        <v>6.08333333333333</v>
      </c>
      <c r="M32" s="21">
        <f t="shared" si="5"/>
        <v>6.08333333333333</v>
      </c>
      <c r="N32" s="22">
        <f t="shared" si="6"/>
        <v>6.08333333333333</v>
      </c>
      <c r="O32" s="54">
        <f>C72</f>
        <v>34.44</v>
      </c>
      <c r="P32" s="43">
        <f>O32*N32</f>
        <v>209.51</v>
      </c>
    </row>
    <row r="33" s="16" customFormat="1" spans="1:16">
      <c r="A33" s="24">
        <v>2105105607</v>
      </c>
      <c r="B33" s="24" t="s">
        <v>72</v>
      </c>
      <c r="C33" s="24" t="s">
        <v>16</v>
      </c>
      <c r="D33" s="24" t="s">
        <v>16</v>
      </c>
      <c r="E33" s="24" t="s">
        <v>52</v>
      </c>
      <c r="F33" s="24" t="s">
        <v>6</v>
      </c>
      <c r="G33" s="24" t="s">
        <v>78</v>
      </c>
      <c r="H33" s="31">
        <v>0.469444444444444</v>
      </c>
      <c r="I33" s="31">
        <v>0.707638888888889</v>
      </c>
      <c r="J33" s="31">
        <v>0.2375</v>
      </c>
      <c r="L33" s="37">
        <f t="shared" si="4"/>
        <v>5.7</v>
      </c>
      <c r="M33" s="21">
        <f t="shared" si="5"/>
        <v>5.7</v>
      </c>
      <c r="N33" s="22">
        <f t="shared" si="6"/>
        <v>5.7</v>
      </c>
      <c r="O33" s="54">
        <f>C72</f>
        <v>34.44</v>
      </c>
      <c r="P33" s="43">
        <f>O33*N33</f>
        <v>196.308</v>
      </c>
    </row>
    <row r="34" spans="1:16">
      <c r="A34" s="24">
        <v>2105161402</v>
      </c>
      <c r="B34" s="24" t="s">
        <v>76</v>
      </c>
      <c r="C34" s="24" t="s">
        <v>61</v>
      </c>
      <c r="D34" s="24" t="s">
        <v>31</v>
      </c>
      <c r="E34" s="24" t="s">
        <v>52</v>
      </c>
      <c r="F34" s="24" t="s">
        <v>6</v>
      </c>
      <c r="G34" s="24" t="s">
        <v>78</v>
      </c>
      <c r="H34" s="31">
        <v>0.459722222222222</v>
      </c>
      <c r="I34" s="31">
        <v>0.716666666666667</v>
      </c>
      <c r="J34" s="31">
        <v>0.256944444444444</v>
      </c>
      <c r="L34" s="37">
        <f t="shared" si="4"/>
        <v>6.16666666666667</v>
      </c>
      <c r="M34" s="21">
        <f t="shared" si="5"/>
        <v>6.16666666666667</v>
      </c>
      <c r="N34" s="22">
        <f t="shared" si="6"/>
        <v>6.16666666666667</v>
      </c>
      <c r="O34" s="54">
        <f>C72</f>
        <v>34.44</v>
      </c>
      <c r="P34" s="43">
        <f>O34*N34</f>
        <v>212.38</v>
      </c>
    </row>
    <row r="35" s="16" customFormat="1" spans="1:16">
      <c r="A35" s="24">
        <v>2105161403</v>
      </c>
      <c r="B35" s="24" t="s">
        <v>74</v>
      </c>
      <c r="C35" s="24" t="s">
        <v>75</v>
      </c>
      <c r="D35" s="24" t="s">
        <v>17</v>
      </c>
      <c r="E35" s="24" t="s">
        <v>52</v>
      </c>
      <c r="F35" s="24" t="s">
        <v>6</v>
      </c>
      <c r="G35" s="24" t="s">
        <v>78</v>
      </c>
      <c r="H35" s="31">
        <v>0.461111111111111</v>
      </c>
      <c r="I35" s="31">
        <v>0.716666666666667</v>
      </c>
      <c r="J35" s="31">
        <v>0.255555555555556</v>
      </c>
      <c r="L35" s="37">
        <f t="shared" si="4"/>
        <v>6.13333333333333</v>
      </c>
      <c r="M35" s="21">
        <f t="shared" si="5"/>
        <v>6.13333333333333</v>
      </c>
      <c r="N35" s="22">
        <f t="shared" si="6"/>
        <v>6.13333333333333</v>
      </c>
      <c r="O35" s="54">
        <f>C72</f>
        <v>34.44</v>
      </c>
      <c r="P35" s="43">
        <f>O35*N35</f>
        <v>211.232</v>
      </c>
    </row>
    <row r="36" s="16" customFormat="1" spans="1:16">
      <c r="A36" s="24">
        <v>2105161404</v>
      </c>
      <c r="B36" s="24" t="s">
        <v>4</v>
      </c>
      <c r="C36" s="24" t="s">
        <v>73</v>
      </c>
      <c r="D36" s="24" t="s">
        <v>4</v>
      </c>
      <c r="E36" s="24" t="s">
        <v>52</v>
      </c>
      <c r="F36" s="24" t="s">
        <v>6</v>
      </c>
      <c r="G36" s="24" t="s">
        <v>78</v>
      </c>
      <c r="H36" s="31">
        <v>0.46875</v>
      </c>
      <c r="I36" s="31">
        <v>0.669444444444444</v>
      </c>
      <c r="J36" s="31">
        <v>0.2</v>
      </c>
      <c r="L36" s="37">
        <f t="shared" si="4"/>
        <v>4.8</v>
      </c>
      <c r="M36" s="21">
        <f t="shared" si="5"/>
        <v>4.8</v>
      </c>
      <c r="N36" s="22">
        <f t="shared" si="6"/>
        <v>4.8</v>
      </c>
      <c r="O36" s="55">
        <f>C72</f>
        <v>34.44</v>
      </c>
      <c r="P36" s="43">
        <f>O36*N36</f>
        <v>165.312</v>
      </c>
    </row>
    <row r="37" s="19" customFormat="1" spans="1:16">
      <c r="A37" s="24"/>
      <c r="B37" s="26" t="s">
        <v>81</v>
      </c>
      <c r="C37" s="26" t="s">
        <v>81</v>
      </c>
      <c r="D37" s="26" t="s">
        <v>81</v>
      </c>
      <c r="E37" s="24" t="s">
        <v>52</v>
      </c>
      <c r="F37" s="24" t="s">
        <v>6</v>
      </c>
      <c r="G37" s="24" t="s">
        <v>78</v>
      </c>
      <c r="H37" s="31">
        <v>0.291666666666667</v>
      </c>
      <c r="I37" s="31">
        <v>0.659722222222222</v>
      </c>
      <c r="J37" s="31">
        <v>0.368055555555556</v>
      </c>
      <c r="L37" s="37">
        <f>HOUR($J37)+MINUTE($J37)/60</f>
        <v>8.83333333333333</v>
      </c>
      <c r="M37" s="21">
        <f>$L37-$K37</f>
        <v>8.83333333333333</v>
      </c>
      <c r="N37" s="22">
        <f>M37</f>
        <v>8.83333333333333</v>
      </c>
      <c r="O37" s="56">
        <f>C72</f>
        <v>34.44</v>
      </c>
      <c r="P37" s="43">
        <f>O37*N37</f>
        <v>304.22</v>
      </c>
    </row>
    <row r="38" s="18" customFormat="1" spans="1:16">
      <c r="A38" s="25"/>
      <c r="B38" s="25" t="s">
        <v>27</v>
      </c>
      <c r="C38" s="25" t="s">
        <v>27</v>
      </c>
      <c r="D38" s="25" t="s">
        <v>27</v>
      </c>
      <c r="E38" s="25" t="s">
        <v>52</v>
      </c>
      <c r="F38" s="25" t="s">
        <v>6</v>
      </c>
      <c r="G38" s="25" t="s">
        <v>78</v>
      </c>
      <c r="H38" s="32">
        <v>0.458333333333333</v>
      </c>
      <c r="I38" s="32">
        <v>0.569444444444444</v>
      </c>
      <c r="J38" s="32">
        <v>0.111111111111111</v>
      </c>
      <c r="L38" s="38">
        <f>HOUR($J38)+MINUTE($J38)/60</f>
        <v>2.66666666666667</v>
      </c>
      <c r="M38" s="44">
        <f>$L38-$K38</f>
        <v>2.66666666666667</v>
      </c>
      <c r="N38" s="45">
        <f>M38</f>
        <v>2.66666666666667</v>
      </c>
      <c r="O38" s="57">
        <f>C72</f>
        <v>34.44</v>
      </c>
      <c r="P38" s="47">
        <f t="shared" ref="P38:P56" si="7">O38*N38</f>
        <v>91.84</v>
      </c>
    </row>
    <row r="39" s="16" customFormat="1" spans="1:16">
      <c r="A39" s="24">
        <v>15113735</v>
      </c>
      <c r="B39" s="24" t="s">
        <v>50</v>
      </c>
      <c r="C39" s="24" t="s">
        <v>51</v>
      </c>
      <c r="D39" s="24" t="s">
        <v>18</v>
      </c>
      <c r="E39" s="24" t="s">
        <v>52</v>
      </c>
      <c r="F39" s="24" t="s">
        <v>8</v>
      </c>
      <c r="G39" s="24" t="s">
        <v>82</v>
      </c>
      <c r="H39" s="31">
        <v>0.329166666666667</v>
      </c>
      <c r="I39" s="31">
        <v>0.699305555555556</v>
      </c>
      <c r="J39" s="31">
        <v>0.369444444444444</v>
      </c>
      <c r="L39" s="37">
        <f t="shared" ref="L39:L55" si="8">HOUR($J39)+MINUTE($J39)/60</f>
        <v>8.86666666666667</v>
      </c>
      <c r="M39" s="21">
        <f t="shared" ref="M39:M55" si="9">$L39-$K39</f>
        <v>8.86666666666667</v>
      </c>
      <c r="N39" s="22">
        <f t="shared" ref="N39:N55" si="10">M39</f>
        <v>8.86666666666667</v>
      </c>
      <c r="O39" s="55">
        <f>D73</f>
        <v>46.125</v>
      </c>
      <c r="P39" s="43">
        <f t="shared" si="7"/>
        <v>408.975</v>
      </c>
    </row>
    <row r="40" spans="1:16">
      <c r="A40" s="24">
        <v>20250809</v>
      </c>
      <c r="B40" s="24" t="s">
        <v>83</v>
      </c>
      <c r="C40" s="24" t="s">
        <v>84</v>
      </c>
      <c r="D40" s="24" t="s">
        <v>22</v>
      </c>
      <c r="E40" s="24" t="s">
        <v>52</v>
      </c>
      <c r="F40" s="24" t="s">
        <v>8</v>
      </c>
      <c r="G40" s="24" t="s">
        <v>82</v>
      </c>
      <c r="H40" s="31">
        <v>0.334722222222222</v>
      </c>
      <c r="I40" s="31">
        <v>0.69375</v>
      </c>
      <c r="J40" s="31">
        <v>0.358333333333333</v>
      </c>
      <c r="L40" s="37">
        <f t="shared" si="8"/>
        <v>8.6</v>
      </c>
      <c r="M40" s="21">
        <f t="shared" si="9"/>
        <v>8.6</v>
      </c>
      <c r="N40" s="22">
        <f t="shared" si="10"/>
        <v>8.6</v>
      </c>
      <c r="O40" s="55">
        <f>C73</f>
        <v>43.05</v>
      </c>
      <c r="P40" s="43">
        <f t="shared" si="7"/>
        <v>370.23</v>
      </c>
    </row>
    <row r="41" s="16" customFormat="1" spans="1:16">
      <c r="A41" s="24">
        <v>2025082101</v>
      </c>
      <c r="B41" s="24" t="s">
        <v>61</v>
      </c>
      <c r="C41" s="24" t="s">
        <v>62</v>
      </c>
      <c r="D41" s="24" t="s">
        <v>21</v>
      </c>
      <c r="E41" s="24" t="s">
        <v>52</v>
      </c>
      <c r="F41" s="24" t="s">
        <v>8</v>
      </c>
      <c r="G41" s="24" t="s">
        <v>82</v>
      </c>
      <c r="H41" s="31">
        <v>0.335416666666667</v>
      </c>
      <c r="I41" s="31">
        <v>0.697916666666667</v>
      </c>
      <c r="J41" s="31">
        <v>0.361805555555556</v>
      </c>
      <c r="L41" s="37">
        <f t="shared" si="8"/>
        <v>8.68333333333333</v>
      </c>
      <c r="M41" s="21">
        <f t="shared" si="9"/>
        <v>8.68333333333333</v>
      </c>
      <c r="N41" s="22">
        <f t="shared" si="10"/>
        <v>8.68333333333333</v>
      </c>
      <c r="O41" s="55">
        <f>C73</f>
        <v>43.05</v>
      </c>
      <c r="P41" s="43">
        <f t="shared" si="7"/>
        <v>373.8175</v>
      </c>
    </row>
    <row r="42" spans="1:16">
      <c r="A42" s="24">
        <v>2025082201</v>
      </c>
      <c r="B42" s="24" t="s">
        <v>65</v>
      </c>
      <c r="C42" s="24" t="s">
        <v>32</v>
      </c>
      <c r="D42" s="24" t="s">
        <v>32</v>
      </c>
      <c r="E42" s="24" t="s">
        <v>52</v>
      </c>
      <c r="F42" s="24" t="s">
        <v>8</v>
      </c>
      <c r="G42" s="24" t="s">
        <v>82</v>
      </c>
      <c r="H42" s="31">
        <v>0.335416666666667</v>
      </c>
      <c r="I42" s="31">
        <v>0.697916666666667</v>
      </c>
      <c r="J42" s="31">
        <v>0.361805555555556</v>
      </c>
      <c r="L42" s="37">
        <f t="shared" si="8"/>
        <v>8.68333333333333</v>
      </c>
      <c r="M42" s="21">
        <f t="shared" si="9"/>
        <v>8.68333333333333</v>
      </c>
      <c r="N42" s="22">
        <f t="shared" si="10"/>
        <v>8.68333333333333</v>
      </c>
      <c r="O42" s="55">
        <f>C73</f>
        <v>43.05</v>
      </c>
      <c r="P42" s="43">
        <f t="shared" si="7"/>
        <v>373.8175</v>
      </c>
    </row>
    <row r="43" spans="1:16">
      <c r="A43" s="24">
        <v>2025082701</v>
      </c>
      <c r="B43" s="24" t="s">
        <v>63</v>
      </c>
      <c r="C43" s="24" t="s">
        <v>85</v>
      </c>
      <c r="D43" s="24" t="s">
        <v>23</v>
      </c>
      <c r="E43" s="24" t="s">
        <v>52</v>
      </c>
      <c r="F43" s="24" t="s">
        <v>8</v>
      </c>
      <c r="G43" s="24" t="s">
        <v>82</v>
      </c>
      <c r="H43" s="31">
        <v>0.332638888888889</v>
      </c>
      <c r="I43" s="31">
        <v>0.820138888888889</v>
      </c>
      <c r="J43" s="31">
        <v>0.486805555555556</v>
      </c>
      <c r="L43" s="37">
        <f t="shared" si="8"/>
        <v>11.6833333333333</v>
      </c>
      <c r="M43" s="21">
        <f t="shared" si="9"/>
        <v>11.6833333333333</v>
      </c>
      <c r="N43" s="22">
        <f t="shared" si="10"/>
        <v>11.6833333333333</v>
      </c>
      <c r="O43" s="55">
        <f>D73</f>
        <v>46.125</v>
      </c>
      <c r="P43" s="43">
        <f t="shared" si="7"/>
        <v>538.893749999998</v>
      </c>
    </row>
    <row r="44" spans="1:16">
      <c r="A44" s="24">
        <v>2025100902</v>
      </c>
      <c r="B44" s="24" t="s">
        <v>30</v>
      </c>
      <c r="C44" s="24" t="s">
        <v>68</v>
      </c>
      <c r="D44" s="24" t="s">
        <v>30</v>
      </c>
      <c r="E44" s="24" t="s">
        <v>52</v>
      </c>
      <c r="F44" s="24" t="s">
        <v>8</v>
      </c>
      <c r="G44" s="24" t="s">
        <v>82</v>
      </c>
      <c r="H44" s="31">
        <v>0.332638888888889</v>
      </c>
      <c r="I44" s="31">
        <v>0.690972222222222</v>
      </c>
      <c r="J44" s="31">
        <v>0.358333333333333</v>
      </c>
      <c r="L44" s="37">
        <f t="shared" si="8"/>
        <v>8.6</v>
      </c>
      <c r="M44" s="21">
        <f t="shared" si="9"/>
        <v>8.6</v>
      </c>
      <c r="N44" s="22">
        <f t="shared" si="10"/>
        <v>8.6</v>
      </c>
      <c r="O44" s="55">
        <f>C73</f>
        <v>43.05</v>
      </c>
      <c r="P44" s="43">
        <f t="shared" si="7"/>
        <v>370.23</v>
      </c>
    </row>
    <row r="45" s="16" customFormat="1" spans="1:16">
      <c r="A45" s="24">
        <v>2025100903</v>
      </c>
      <c r="B45" s="24" t="s">
        <v>69</v>
      </c>
      <c r="C45" s="24" t="s">
        <v>26</v>
      </c>
      <c r="D45" s="24" t="s">
        <v>26</v>
      </c>
      <c r="E45" s="24" t="s">
        <v>52</v>
      </c>
      <c r="F45" s="24" t="s">
        <v>8</v>
      </c>
      <c r="G45" s="24" t="s">
        <v>82</v>
      </c>
      <c r="H45" s="31">
        <v>0.330555555555556</v>
      </c>
      <c r="I45" s="31">
        <v>0.696527777777778</v>
      </c>
      <c r="J45" s="31">
        <v>0.365972222222222</v>
      </c>
      <c r="L45" s="37">
        <f t="shared" si="8"/>
        <v>8.78333333333333</v>
      </c>
      <c r="M45" s="21">
        <f t="shared" si="9"/>
        <v>8.78333333333333</v>
      </c>
      <c r="N45" s="22">
        <f t="shared" si="10"/>
        <v>8.78333333333333</v>
      </c>
      <c r="O45" s="55">
        <f>C73</f>
        <v>43.05</v>
      </c>
      <c r="P45" s="43">
        <f t="shared" si="7"/>
        <v>378.1225</v>
      </c>
    </row>
    <row r="46" s="16" customFormat="1" spans="1:16">
      <c r="A46" s="24">
        <v>2105105603</v>
      </c>
      <c r="B46" s="24" t="s">
        <v>70</v>
      </c>
      <c r="C46" s="24" t="s">
        <v>71</v>
      </c>
      <c r="D46" s="24" t="s">
        <v>34</v>
      </c>
      <c r="E46" s="24" t="s">
        <v>52</v>
      </c>
      <c r="F46" s="24" t="s">
        <v>8</v>
      </c>
      <c r="G46" s="24" t="s">
        <v>82</v>
      </c>
      <c r="H46" s="31">
        <v>0.352083333333333</v>
      </c>
      <c r="I46" s="31">
        <v>0.675</v>
      </c>
      <c r="J46" s="31">
        <v>0.322222222222222</v>
      </c>
      <c r="L46" s="37">
        <f t="shared" si="8"/>
        <v>7.73333333333333</v>
      </c>
      <c r="M46" s="21">
        <f t="shared" si="9"/>
        <v>7.73333333333333</v>
      </c>
      <c r="N46" s="22">
        <f t="shared" si="10"/>
        <v>7.73333333333333</v>
      </c>
      <c r="O46" s="55">
        <f>C73</f>
        <v>43.05</v>
      </c>
      <c r="P46" s="43">
        <f t="shared" si="7"/>
        <v>332.92</v>
      </c>
    </row>
    <row r="47" spans="1:16">
      <c r="A47" s="24">
        <v>2105105604</v>
      </c>
      <c r="B47" s="24" t="s">
        <v>86</v>
      </c>
      <c r="C47" s="24" t="s">
        <v>87</v>
      </c>
      <c r="D47" s="24" t="s">
        <v>17</v>
      </c>
      <c r="E47" s="24" t="s">
        <v>52</v>
      </c>
      <c r="F47" s="24" t="s">
        <v>8</v>
      </c>
      <c r="G47" s="24" t="s">
        <v>82</v>
      </c>
      <c r="H47" s="31">
        <v>0.333333333333333</v>
      </c>
      <c r="I47" s="31">
        <v>0.695138888888889</v>
      </c>
      <c r="J47" s="31">
        <v>0.361805555555556</v>
      </c>
      <c r="L47" s="37">
        <f t="shared" si="8"/>
        <v>8.68333333333333</v>
      </c>
      <c r="M47" s="21">
        <f t="shared" si="9"/>
        <v>8.68333333333333</v>
      </c>
      <c r="N47" s="22">
        <f t="shared" si="10"/>
        <v>8.68333333333333</v>
      </c>
      <c r="O47" s="55">
        <f>C73</f>
        <v>43.05</v>
      </c>
      <c r="P47" s="43">
        <f t="shared" si="7"/>
        <v>373.8175</v>
      </c>
    </row>
    <row r="48" spans="1:16">
      <c r="A48" s="24">
        <v>2105105605</v>
      </c>
      <c r="B48" s="24" t="s">
        <v>79</v>
      </c>
      <c r="C48" s="24" t="s">
        <v>80</v>
      </c>
      <c r="D48" s="24" t="s">
        <v>11</v>
      </c>
      <c r="E48" s="24" t="s">
        <v>52</v>
      </c>
      <c r="F48" s="24" t="s">
        <v>8</v>
      </c>
      <c r="G48" s="24" t="s">
        <v>82</v>
      </c>
      <c r="H48" s="31">
        <v>0.338194444444444</v>
      </c>
      <c r="I48" s="31">
        <v>0.69375</v>
      </c>
      <c r="J48" s="31">
        <v>0.355555555555556</v>
      </c>
      <c r="L48" s="37">
        <f t="shared" si="8"/>
        <v>8.53333333333333</v>
      </c>
      <c r="M48" s="21">
        <f t="shared" si="9"/>
        <v>8.53333333333333</v>
      </c>
      <c r="N48" s="22">
        <f t="shared" si="10"/>
        <v>8.53333333333333</v>
      </c>
      <c r="O48" s="55">
        <f>C73</f>
        <v>43.05</v>
      </c>
      <c r="P48" s="43">
        <f t="shared" si="7"/>
        <v>367.36</v>
      </c>
    </row>
    <row r="49" spans="1:16">
      <c r="A49" s="24">
        <v>2105105606</v>
      </c>
      <c r="B49" s="24" t="s">
        <v>54</v>
      </c>
      <c r="C49" s="24" t="s">
        <v>55</v>
      </c>
      <c r="D49" s="24" t="s">
        <v>25</v>
      </c>
      <c r="E49" s="24" t="s">
        <v>52</v>
      </c>
      <c r="F49" s="24" t="s">
        <v>8</v>
      </c>
      <c r="G49" s="24" t="s">
        <v>82</v>
      </c>
      <c r="H49" s="31">
        <v>0.342361111111111</v>
      </c>
      <c r="I49" s="31">
        <v>0.69375</v>
      </c>
      <c r="J49" s="31">
        <v>0.351388888888889</v>
      </c>
      <c r="L49" s="37">
        <f t="shared" si="8"/>
        <v>8.43333333333333</v>
      </c>
      <c r="M49" s="21">
        <f t="shared" si="9"/>
        <v>8.43333333333333</v>
      </c>
      <c r="N49" s="22">
        <f t="shared" si="10"/>
        <v>8.43333333333333</v>
      </c>
      <c r="O49" s="55">
        <f>C73</f>
        <v>43.05</v>
      </c>
      <c r="P49" s="43">
        <f t="shared" si="7"/>
        <v>363.055</v>
      </c>
    </row>
    <row r="50" spans="1:16">
      <c r="A50" s="24">
        <v>2105161402</v>
      </c>
      <c r="B50" s="24" t="s">
        <v>76</v>
      </c>
      <c r="C50" s="24" t="s">
        <v>61</v>
      </c>
      <c r="D50" s="24" t="s">
        <v>31</v>
      </c>
      <c r="E50" s="24" t="s">
        <v>52</v>
      </c>
      <c r="F50" s="24" t="s">
        <v>8</v>
      </c>
      <c r="G50" s="24" t="s">
        <v>82</v>
      </c>
      <c r="H50" s="31">
        <v>0.334722222222222</v>
      </c>
      <c r="I50" s="31">
        <v>0.695833333333333</v>
      </c>
      <c r="J50" s="31">
        <v>0.361111111111111</v>
      </c>
      <c r="L50" s="37">
        <f t="shared" si="8"/>
        <v>8.66666666666667</v>
      </c>
      <c r="M50" s="21">
        <f t="shared" si="9"/>
        <v>8.66666666666667</v>
      </c>
      <c r="N50" s="22">
        <f t="shared" si="10"/>
        <v>8.66666666666667</v>
      </c>
      <c r="O50" s="55">
        <f>C73</f>
        <v>43.05</v>
      </c>
      <c r="P50" s="43">
        <f t="shared" si="7"/>
        <v>373.1</v>
      </c>
    </row>
    <row r="51" s="16" customFormat="1" spans="1:16">
      <c r="A51" s="24">
        <v>2105161403</v>
      </c>
      <c r="B51" s="24" t="s">
        <v>74</v>
      </c>
      <c r="C51" s="24" t="s">
        <v>75</v>
      </c>
      <c r="D51" s="24" t="s">
        <v>17</v>
      </c>
      <c r="E51" s="24" t="s">
        <v>52</v>
      </c>
      <c r="F51" s="24" t="s">
        <v>8</v>
      </c>
      <c r="G51" s="24" t="s">
        <v>82</v>
      </c>
      <c r="H51" s="31">
        <v>0.332638888888889</v>
      </c>
      <c r="I51" s="31">
        <v>0.696527777777778</v>
      </c>
      <c r="J51" s="31">
        <v>0.363194444444444</v>
      </c>
      <c r="L51" s="37">
        <f t="shared" si="8"/>
        <v>8.71666666666667</v>
      </c>
      <c r="M51" s="21">
        <f t="shared" si="9"/>
        <v>8.71666666666667</v>
      </c>
      <c r="N51" s="22">
        <f t="shared" si="10"/>
        <v>8.71666666666667</v>
      </c>
      <c r="O51" s="55">
        <f>C73</f>
        <v>43.05</v>
      </c>
      <c r="P51" s="43">
        <f t="shared" si="7"/>
        <v>375.2525</v>
      </c>
    </row>
    <row r="52" ht="17" spans="1:16">
      <c r="A52" s="26"/>
      <c r="B52" s="29" t="s">
        <v>7</v>
      </c>
      <c r="C52" s="29" t="s">
        <v>7</v>
      </c>
      <c r="D52" s="29" t="s">
        <v>7</v>
      </c>
      <c r="E52" s="24" t="s">
        <v>52</v>
      </c>
      <c r="F52" s="24" t="s">
        <v>8</v>
      </c>
      <c r="G52" s="24" t="s">
        <v>82</v>
      </c>
      <c r="H52" s="33">
        <v>0.333333333333333</v>
      </c>
      <c r="I52" s="33">
        <v>0.5</v>
      </c>
      <c r="J52" s="33">
        <v>0.166666666666667</v>
      </c>
      <c r="L52" s="37">
        <f t="shared" si="8"/>
        <v>4</v>
      </c>
      <c r="M52" s="21">
        <f t="shared" si="9"/>
        <v>4</v>
      </c>
      <c r="N52" s="22">
        <f t="shared" si="10"/>
        <v>4</v>
      </c>
      <c r="O52" s="55">
        <f>C73</f>
        <v>43.05</v>
      </c>
      <c r="P52" s="43">
        <f t="shared" si="7"/>
        <v>172.2</v>
      </c>
    </row>
    <row r="53" s="18" customFormat="1" spans="1:16">
      <c r="A53" s="25"/>
      <c r="B53" s="25" t="s">
        <v>29</v>
      </c>
      <c r="C53" s="25" t="s">
        <v>29</v>
      </c>
      <c r="D53" s="25" t="s">
        <v>29</v>
      </c>
      <c r="E53" s="25" t="s">
        <v>52</v>
      </c>
      <c r="F53" s="25" t="s">
        <v>8</v>
      </c>
      <c r="G53" s="25" t="s">
        <v>82</v>
      </c>
      <c r="H53" s="32">
        <v>0.5</v>
      </c>
      <c r="I53" s="32">
        <v>0.5</v>
      </c>
      <c r="J53" s="32">
        <v>0.166666666666667</v>
      </c>
      <c r="L53" s="38">
        <f t="shared" si="8"/>
        <v>4</v>
      </c>
      <c r="M53" s="44">
        <f t="shared" si="9"/>
        <v>4</v>
      </c>
      <c r="N53" s="45">
        <f t="shared" si="10"/>
        <v>4</v>
      </c>
      <c r="O53" s="57">
        <f>C73</f>
        <v>43.05</v>
      </c>
      <c r="P53" s="47">
        <f t="shared" si="7"/>
        <v>172.2</v>
      </c>
    </row>
    <row r="54" s="16" customFormat="1" spans="1:16">
      <c r="A54" s="24">
        <v>2025082701</v>
      </c>
      <c r="B54" s="24" t="s">
        <v>63</v>
      </c>
      <c r="C54" s="24" t="s">
        <v>85</v>
      </c>
      <c r="D54" s="24" t="s">
        <v>23</v>
      </c>
      <c r="E54" s="24" t="s">
        <v>52</v>
      </c>
      <c r="F54" s="24" t="s">
        <v>14</v>
      </c>
      <c r="G54" s="24" t="s">
        <v>88</v>
      </c>
      <c r="H54" s="31">
        <v>0.290972222222222</v>
      </c>
      <c r="I54" s="31">
        <v>0.577777777777778</v>
      </c>
      <c r="J54" s="31">
        <v>0.286805555555556</v>
      </c>
      <c r="L54" s="37">
        <f t="shared" si="8"/>
        <v>6.88333333333333</v>
      </c>
      <c r="M54" s="21">
        <f t="shared" si="9"/>
        <v>6.88333333333333</v>
      </c>
      <c r="N54" s="22">
        <f t="shared" si="10"/>
        <v>6.88333333333333</v>
      </c>
      <c r="O54" s="55">
        <f>C72</f>
        <v>34.44</v>
      </c>
      <c r="P54" s="43">
        <f t="shared" si="7"/>
        <v>237.062</v>
      </c>
    </row>
    <row r="55" spans="1:16">
      <c r="A55" s="24">
        <v>2025100903</v>
      </c>
      <c r="B55" s="24" t="s">
        <v>69</v>
      </c>
      <c r="C55" s="24" t="s">
        <v>26</v>
      </c>
      <c r="D55" s="24" t="s">
        <v>26</v>
      </c>
      <c r="E55" s="24" t="s">
        <v>52</v>
      </c>
      <c r="F55" s="24" t="s">
        <v>14</v>
      </c>
      <c r="G55" s="24" t="s">
        <v>88</v>
      </c>
      <c r="H55" s="31">
        <v>0.291666666666667</v>
      </c>
      <c r="I55" s="31">
        <v>0.577083333333333</v>
      </c>
      <c r="J55" s="31">
        <v>0.284722222222222</v>
      </c>
      <c r="L55" s="37">
        <f t="shared" si="8"/>
        <v>6.83333333333333</v>
      </c>
      <c r="M55" s="21">
        <f t="shared" si="9"/>
        <v>6.83333333333333</v>
      </c>
      <c r="N55" s="22">
        <f t="shared" si="10"/>
        <v>6.83333333333333</v>
      </c>
      <c r="O55" s="55">
        <f>D72</f>
        <v>36.9</v>
      </c>
      <c r="P55" s="43">
        <f t="shared" si="7"/>
        <v>252.15</v>
      </c>
    </row>
    <row r="56" spans="1:16">
      <c r="A56" s="26"/>
      <c r="B56" s="26" t="s">
        <v>81</v>
      </c>
      <c r="C56" s="26" t="s">
        <v>81</v>
      </c>
      <c r="D56" s="26" t="s">
        <v>81</v>
      </c>
      <c r="E56" s="24" t="s">
        <v>52</v>
      </c>
      <c r="F56" s="24" t="s">
        <v>14</v>
      </c>
      <c r="G56" s="24" t="s">
        <v>88</v>
      </c>
      <c r="H56" s="33">
        <v>0.291666666666667</v>
      </c>
      <c r="I56" s="33">
        <v>0.625</v>
      </c>
      <c r="J56" s="33">
        <v>0.333333333333333</v>
      </c>
      <c r="L56" s="37">
        <f>HOUR($J56)+MINUTE($J56)/60</f>
        <v>8</v>
      </c>
      <c r="M56" s="21">
        <f>$L56-$K56</f>
        <v>8</v>
      </c>
      <c r="N56" s="22">
        <f>M56</f>
        <v>8</v>
      </c>
      <c r="O56" s="55">
        <f>C72</f>
        <v>34.44</v>
      </c>
      <c r="P56" s="43">
        <f t="shared" si="7"/>
        <v>275.52</v>
      </c>
    </row>
    <row r="57" spans="1:16">
      <c r="A57" s="26"/>
      <c r="B57" s="26"/>
      <c r="C57" s="26"/>
      <c r="D57" s="26"/>
      <c r="E57" s="26"/>
      <c r="F57" s="26"/>
      <c r="G57" s="26"/>
      <c r="H57" s="33"/>
      <c r="I57" s="33"/>
      <c r="J57" s="33"/>
      <c r="L57" s="37"/>
      <c r="M57" s="22"/>
      <c r="N57" s="54"/>
      <c r="O57" s="54"/>
      <c r="P57" s="43"/>
    </row>
    <row r="58" spans="1:16">
      <c r="A58" s="26"/>
      <c r="B58" s="26"/>
      <c r="C58" s="26"/>
      <c r="D58" s="26"/>
      <c r="E58" s="26"/>
      <c r="F58" s="26"/>
      <c r="G58" s="26"/>
      <c r="H58" s="33"/>
      <c r="I58" s="33"/>
      <c r="J58" s="33"/>
      <c r="L58" s="37"/>
      <c r="M58" s="22"/>
      <c r="O58" s="54"/>
      <c r="P58" s="43"/>
    </row>
    <row r="59" spans="1:16">
      <c r="A59" s="26"/>
      <c r="B59" s="26"/>
      <c r="C59" s="26"/>
      <c r="D59" s="26"/>
      <c r="E59" s="26"/>
      <c r="F59" s="26"/>
      <c r="G59" s="26"/>
      <c r="H59" s="33"/>
      <c r="I59" s="33"/>
      <c r="J59" s="33"/>
      <c r="L59" s="37"/>
      <c r="M59" s="22"/>
      <c r="O59" s="54"/>
      <c r="P59" s="43"/>
    </row>
    <row r="60" spans="1:16">
      <c r="A60" s="26"/>
      <c r="B60" s="26"/>
      <c r="C60" s="26"/>
      <c r="D60" s="26"/>
      <c r="E60" s="26"/>
      <c r="F60" s="26"/>
      <c r="G60" s="26"/>
      <c r="H60" s="33"/>
      <c r="I60" s="33"/>
      <c r="J60" s="33"/>
      <c r="L60" s="37"/>
      <c r="M60" s="22"/>
      <c r="O60" s="54"/>
      <c r="P60" s="43"/>
    </row>
    <row r="61" spans="1:16">
      <c r="A61" s="26"/>
      <c r="B61" s="26"/>
      <c r="C61" s="26"/>
      <c r="D61" s="26"/>
      <c r="E61" s="26"/>
      <c r="F61" s="26"/>
      <c r="G61" s="26"/>
      <c r="H61" s="33"/>
      <c r="I61" s="33"/>
      <c r="J61" s="33"/>
      <c r="L61" s="37"/>
      <c r="M61" s="22"/>
      <c r="O61" s="54"/>
      <c r="P61" s="43"/>
    </row>
    <row r="62" spans="2:16">
      <c r="B62" s="27"/>
      <c r="C62" s="27"/>
      <c r="D62" s="27"/>
      <c r="E62" s="27"/>
      <c r="F62" s="26"/>
      <c r="G62" s="26"/>
      <c r="J62" s="36"/>
      <c r="L62" s="37"/>
      <c r="M62" s="22"/>
      <c r="O62" s="54"/>
      <c r="P62" s="43"/>
    </row>
    <row r="63" s="16" customFormat="1" spans="5:16">
      <c r="E63" s="26"/>
      <c r="F63" s="26"/>
      <c r="G63" s="26"/>
      <c r="H63" s="36"/>
      <c r="I63" s="33"/>
      <c r="J63" s="33"/>
      <c r="L63" s="37"/>
      <c r="M63" s="22"/>
      <c r="N63" s="22"/>
      <c r="O63" s="54"/>
      <c r="P63" s="43"/>
    </row>
    <row r="64" spans="13:13">
      <c r="M64" s="22"/>
    </row>
    <row r="65" spans="8:16">
      <c r="H65" s="36"/>
      <c r="I65" s="36"/>
      <c r="J65" s="36"/>
      <c r="L65" s="37"/>
      <c r="M65" s="22"/>
      <c r="O65" s="54"/>
      <c r="P65" s="43"/>
    </row>
    <row r="66" spans="8:16">
      <c r="H66" s="36"/>
      <c r="I66" s="36"/>
      <c r="J66" s="36"/>
      <c r="L66" s="37"/>
      <c r="M66" s="22"/>
      <c r="O66" s="54"/>
      <c r="P66" s="43"/>
    </row>
    <row r="67" spans="8:16">
      <c r="H67" s="36"/>
      <c r="I67" s="36"/>
      <c r="J67" s="36"/>
      <c r="L67" s="37"/>
      <c r="M67" s="22"/>
      <c r="O67" s="54"/>
      <c r="P67" s="43"/>
    </row>
    <row r="68" spans="8:16">
      <c r="H68" s="36"/>
      <c r="I68" s="36"/>
      <c r="J68" s="36"/>
      <c r="L68" s="37"/>
      <c r="M68" s="22"/>
      <c r="P68" s="43"/>
    </row>
    <row r="69" spans="8:16">
      <c r="H69" s="36"/>
      <c r="I69" s="36"/>
      <c r="J69" s="36"/>
      <c r="L69" s="37"/>
      <c r="M69" s="22"/>
      <c r="P69" s="43"/>
    </row>
    <row r="70" spans="8:16">
      <c r="H70" s="36"/>
      <c r="I70" s="36"/>
      <c r="J70" s="36"/>
      <c r="L70" s="37"/>
      <c r="M70" s="22"/>
      <c r="P70" s="43"/>
    </row>
    <row r="71" spans="8:16">
      <c r="H71" s="36"/>
      <c r="I71" s="36"/>
      <c r="J71" s="36"/>
      <c r="L71" s="37"/>
      <c r="M71" s="22"/>
      <c r="P71" s="43"/>
    </row>
    <row r="72" ht="17" spans="1:13">
      <c r="A72" s="58" t="s">
        <v>89</v>
      </c>
      <c r="B72" s="59">
        <v>31.98</v>
      </c>
      <c r="C72" s="59">
        <v>34.44</v>
      </c>
      <c r="D72" s="59">
        <v>36.9</v>
      </c>
      <c r="M72" s="22"/>
    </row>
    <row r="73" spans="1:13">
      <c r="A73" s="59" t="s">
        <v>90</v>
      </c>
      <c r="B73" s="59">
        <f>B72*1.25</f>
        <v>39.975</v>
      </c>
      <c r="C73" s="59">
        <f t="shared" ref="C73:D73" si="11">C72*1.25</f>
        <v>43.05</v>
      </c>
      <c r="D73" s="59">
        <f t="shared" si="11"/>
        <v>46.125</v>
      </c>
      <c r="M73" s="22"/>
    </row>
    <row r="74" spans="1:13">
      <c r="A74" s="59" t="s">
        <v>91</v>
      </c>
      <c r="B74" s="59">
        <v>79.95</v>
      </c>
      <c r="C74" s="59">
        <v>86.1</v>
      </c>
      <c r="D74" s="59">
        <v>92.25</v>
      </c>
      <c r="M74" s="22"/>
    </row>
    <row r="75" spans="13:13">
      <c r="M75" s="22"/>
    </row>
    <row r="76" spans="13:13">
      <c r="M76" s="22"/>
    </row>
    <row r="77" spans="13:13">
      <c r="M77" s="22"/>
    </row>
    <row r="78" spans="13:13">
      <c r="M78" s="22"/>
    </row>
    <row r="79" spans="13:13">
      <c r="M79" s="22"/>
    </row>
    <row r="80" spans="13:13">
      <c r="M80" s="22"/>
    </row>
    <row r="81" spans="13:13">
      <c r="M81" s="22"/>
    </row>
    <row r="82" spans="13:13">
      <c r="M82" s="22"/>
    </row>
    <row r="83" spans="13:13">
      <c r="M83" s="22"/>
    </row>
    <row r="84" spans="13:13">
      <c r="M84" s="22"/>
    </row>
    <row r="85" spans="13:13">
      <c r="M85" s="22"/>
    </row>
    <row r="86" spans="13:13">
      <c r="M86" s="22"/>
    </row>
    <row r="87" spans="13:13">
      <c r="M87" s="22"/>
    </row>
    <row r="88" spans="13:13">
      <c r="M88" s="22"/>
    </row>
    <row r="89" spans="13:13">
      <c r="M89" s="22"/>
    </row>
    <row r="90" spans="13:13">
      <c r="M90" s="22"/>
    </row>
  </sheetData>
  <autoFilter xmlns:etc="http://www.wps.cn/officeDocument/2017/etCustomData" ref="A1:D76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H14" sqref="H14"/>
    </sheetView>
  </sheetViews>
  <sheetFormatPr defaultColWidth="9" defaultRowHeight="16.8" outlineLevelRow="7" outlineLevelCol="3"/>
  <cols>
    <col min="2" max="3" width="12.3303571428571" customWidth="1"/>
    <col min="4" max="4" width="14.3303571428571" customWidth="1"/>
  </cols>
  <sheetData>
    <row r="1" spans="1:4">
      <c r="A1" s="4" t="s">
        <v>40</v>
      </c>
      <c r="B1" s="4" t="s">
        <v>92</v>
      </c>
      <c r="C1" s="4" t="s">
        <v>93</v>
      </c>
      <c r="D1" s="4" t="s">
        <v>94</v>
      </c>
    </row>
    <row r="2" spans="1:4">
      <c r="A2" s="4" t="s">
        <v>53</v>
      </c>
      <c r="B2" s="4"/>
      <c r="C2" s="4"/>
      <c r="D2" s="4"/>
    </row>
    <row r="3" spans="1:4">
      <c r="A3" s="4" t="s">
        <v>95</v>
      </c>
      <c r="B3" s="4"/>
      <c r="C3" s="4"/>
      <c r="D3" s="4"/>
    </row>
    <row r="4" spans="1:4">
      <c r="A4" s="4" t="s">
        <v>77</v>
      </c>
      <c r="B4" s="4"/>
      <c r="C4" s="4"/>
      <c r="D4" s="4"/>
    </row>
    <row r="5" spans="1:4">
      <c r="A5" s="4" t="s">
        <v>78</v>
      </c>
      <c r="B5" s="4"/>
      <c r="C5" s="4"/>
      <c r="D5" s="4"/>
    </row>
    <row r="6" spans="1:4">
      <c r="A6" s="4" t="s">
        <v>96</v>
      </c>
      <c r="B6" s="4"/>
      <c r="C6" s="4"/>
      <c r="D6" s="4"/>
    </row>
    <row r="7" spans="1:4">
      <c r="A7" s="4" t="s">
        <v>82</v>
      </c>
      <c r="B7" s="4"/>
      <c r="C7" s="4"/>
      <c r="D7" s="4"/>
    </row>
    <row r="8" spans="1:4">
      <c r="A8" s="4" t="s">
        <v>97</v>
      </c>
      <c r="B8" s="4"/>
      <c r="C8" s="4"/>
      <c r="D8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32" sqref="B32"/>
    </sheetView>
  </sheetViews>
  <sheetFormatPr defaultColWidth="9" defaultRowHeight="16.8"/>
  <cols>
    <col min="1" max="1" width="12.8303571428571" customWidth="1"/>
    <col min="2" max="2" width="13.8303571428571" customWidth="1"/>
    <col min="3" max="3" width="15.8303571428571" customWidth="1"/>
    <col min="4" max="4" width="11.8303571428571" customWidth="1"/>
    <col min="5" max="5" width="13.8303571428571" customWidth="1"/>
  </cols>
  <sheetData>
    <row r="1" spans="1:10">
      <c r="A1" s="1"/>
      <c r="B1" s="2" t="s">
        <v>98</v>
      </c>
      <c r="C1" s="2"/>
      <c r="D1" s="3"/>
      <c r="E1" s="10" t="s">
        <v>99</v>
      </c>
      <c r="F1" s="11"/>
      <c r="G1" s="12"/>
      <c r="H1" s="10" t="s">
        <v>100</v>
      </c>
      <c r="I1" s="11"/>
      <c r="J1" s="12"/>
    </row>
    <row r="2" spans="1:10">
      <c r="A2" s="4"/>
      <c r="B2" s="4" t="s">
        <v>101</v>
      </c>
      <c r="C2" s="5" t="s">
        <v>102</v>
      </c>
      <c r="D2" s="6" t="s">
        <v>103</v>
      </c>
      <c r="E2" s="13" t="s">
        <v>101</v>
      </c>
      <c r="F2" s="5" t="s">
        <v>102</v>
      </c>
      <c r="G2" s="6" t="s">
        <v>103</v>
      </c>
      <c r="H2" s="13" t="s">
        <v>101</v>
      </c>
      <c r="I2" s="5" t="s">
        <v>102</v>
      </c>
      <c r="J2" s="6" t="s">
        <v>103</v>
      </c>
    </row>
    <row r="3" ht="17" spans="1:10">
      <c r="A3" s="7" t="s">
        <v>104</v>
      </c>
      <c r="B3" s="4">
        <v>31.98</v>
      </c>
      <c r="C3" s="4">
        <v>34.44</v>
      </c>
      <c r="D3" s="6">
        <v>36.9</v>
      </c>
      <c r="E3" s="13">
        <f>B3*1.25</f>
        <v>39.975</v>
      </c>
      <c r="F3" s="13">
        <f t="shared" ref="F3:G3" si="0">C3*1.25</f>
        <v>43.05</v>
      </c>
      <c r="G3" s="13">
        <f t="shared" si="0"/>
        <v>46.125</v>
      </c>
      <c r="H3" s="13">
        <v>79.95</v>
      </c>
      <c r="I3" s="4">
        <v>86.1</v>
      </c>
      <c r="J3" s="6">
        <v>92.25</v>
      </c>
    </row>
    <row r="4" spans="1:10">
      <c r="A4" s="8" t="s">
        <v>105</v>
      </c>
      <c r="B4" s="4" t="s">
        <v>106</v>
      </c>
      <c r="C4" s="4" t="s">
        <v>107</v>
      </c>
      <c r="D4" s="6" t="s">
        <v>108</v>
      </c>
      <c r="E4" s="13" t="s">
        <v>109</v>
      </c>
      <c r="F4" s="4" t="s">
        <v>110</v>
      </c>
      <c r="G4" s="6" t="s">
        <v>111</v>
      </c>
      <c r="H4" s="13"/>
      <c r="I4" s="4"/>
      <c r="J4" s="6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3:3">
      <c r="C12" s="9"/>
    </row>
  </sheetData>
  <mergeCells count="3">
    <mergeCell ref="B1:D1"/>
    <mergeCell ref="E1:G1"/>
    <mergeCell ref="H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ADL-出勤记录-20251020-20251026</vt:lpstr>
      <vt:lpstr>人效</vt:lpstr>
      <vt:lpstr>计费规则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喆大仙</dc:creator>
  <cp:lastModifiedBy>WPS_1554116391</cp:lastModifiedBy>
  <dcterms:created xsi:type="dcterms:W3CDTF">2025-06-22T14:26:00Z</dcterms:created>
  <dcterms:modified xsi:type="dcterms:W3CDTF">2025-11-03T10:28:36Z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1A84146068C1EA2A8D25F868E8C979A2_43</vt:lpwstr>
  </property>
  <property fmtid="{D5CDD505-2E9C-101B-9397-08002B2CF9AE}" pid="3" name="KSOProductBuildVer">
    <vt:lpwstr>2052-7.4.1.8983</vt:lpwstr>
  </property>
</Properties>
</file>