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40" windowHeight="13160" firstSheet="2"/>
  </bookViews>
  <sheets>
    <sheet name="ADL-出勤记录-20251103-202511009" sheetId="1" r:id="rId1"/>
    <sheet name="人效" sheetId="6" r:id="rId2"/>
    <sheet name="计费规则" sheetId="4" r:id="rId3"/>
  </sheets>
  <definedNames>
    <definedName name="_xlnm._FilterDatabase" localSheetId="0" hidden="1">'ADL-出勤记录-20251103-202511009'!$A$1:$D$49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<sst xmlns="http://schemas.openxmlformats.org/spreadsheetml/2006/main" count="272" uniqueCount="81">
  <si>
    <t>人员编号</t>
  </si>
  <si>
    <t>姓名</t>
  </si>
  <si>
    <t>姓氏</t>
  </si>
  <si>
    <t>昵称</t>
  </si>
  <si>
    <t>部门</t>
  </si>
  <si>
    <t>日期</t>
  </si>
  <si>
    <t>工作日</t>
  </si>
  <si>
    <t>首次打卡</t>
  </si>
  <si>
    <t>最后打卡</t>
  </si>
  <si>
    <t>总时长</t>
  </si>
  <si>
    <t>中途请假时间-十进制</t>
  </si>
  <si>
    <t>总时长-十进制</t>
  </si>
  <si>
    <t>总时长(修订后)-十进制</t>
  </si>
  <si>
    <t>当日总时长-十进制</t>
  </si>
  <si>
    <t>价格每小时</t>
  </si>
  <si>
    <t>价格(AUD)</t>
  </si>
  <si>
    <t>LiNan</t>
  </si>
  <si>
    <t>Yin</t>
  </si>
  <si>
    <t>Kimi</t>
  </si>
  <si>
    <t>AUS ADL</t>
  </si>
  <si>
    <t>03/11/2025</t>
  </si>
  <si>
    <t>周一</t>
  </si>
  <si>
    <t>Li</t>
  </si>
  <si>
    <t>Geng</t>
  </si>
  <si>
    <t>Lily</t>
  </si>
  <si>
    <t>xiaoyan</t>
  </si>
  <si>
    <t>yan</t>
  </si>
  <si>
    <t>Ting</t>
  </si>
  <si>
    <t>Hei</t>
  </si>
  <si>
    <t>miko</t>
  </si>
  <si>
    <t>Shruti</t>
  </si>
  <si>
    <t>Bhandari</t>
  </si>
  <si>
    <t>jingyao</t>
  </si>
  <si>
    <t>pan</t>
  </si>
  <si>
    <t>Nandiniba</t>
  </si>
  <si>
    <t>chavda</t>
  </si>
  <si>
    <t>Nanny</t>
  </si>
  <si>
    <t>Fangzhou</t>
  </si>
  <si>
    <t>Wayne</t>
  </si>
  <si>
    <t>yufeng</t>
  </si>
  <si>
    <t>zhang</t>
  </si>
  <si>
    <t>Kevin</t>
  </si>
  <si>
    <t>ravi-1</t>
  </si>
  <si>
    <t>ravi-2</t>
  </si>
  <si>
    <t>04/11/2025</t>
  </si>
  <si>
    <t>周二</t>
  </si>
  <si>
    <t>05/11/2025</t>
  </si>
  <si>
    <t>周三</t>
  </si>
  <si>
    <t>YiChi</t>
  </si>
  <si>
    <t>Nien</t>
  </si>
  <si>
    <t>Ethan</t>
  </si>
  <si>
    <t>Wan Kwan</t>
  </si>
  <si>
    <t>Tong</t>
  </si>
  <si>
    <t>06/11/2025</t>
  </si>
  <si>
    <t>周四</t>
  </si>
  <si>
    <t>07/11/2025</t>
  </si>
  <si>
    <t>周五</t>
  </si>
  <si>
    <t>08/11/2025</t>
  </si>
  <si>
    <t>周六</t>
  </si>
  <si>
    <t>工作日&amp;不分拣的周末</t>
  </si>
  <si>
    <t>分拣的周末</t>
  </si>
  <si>
    <t>公共节假日</t>
  </si>
  <si>
    <t>到件扫描数量</t>
  </si>
  <si>
    <t>仓库预计单量</t>
  </si>
  <si>
    <t>预测工具预测量</t>
  </si>
  <si>
    <t xml:space="preserve">周二 </t>
  </si>
  <si>
    <t>周日</t>
  </si>
  <si>
    <t>工作日；周末只开仓提货情况下</t>
  </si>
  <si>
    <t>周末进行分拣情况下</t>
  </si>
  <si>
    <t>节假日</t>
  </si>
  <si>
    <t>第一档</t>
  </si>
  <si>
    <t>第二档</t>
  </si>
  <si>
    <t>第三档</t>
  </si>
  <si>
    <t>每小时价格</t>
  </si>
  <si>
    <t>提单款项编号</t>
  </si>
  <si>
    <t>S012701</t>
  </si>
  <si>
    <t>S012702</t>
  </si>
  <si>
    <t>S012703</t>
  </si>
  <si>
    <t>S012746</t>
  </si>
  <si>
    <t>S012749</t>
  </si>
  <si>
    <t>S012752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</si>
</sst>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#,##0.00_ "/>
    <numFmt numFmtId="178" formatCode="0.00_ "/>
  </numFmts>
  <fonts count="19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6" applyNumberFormat="0" applyFill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9" applyNumberFormat="0" applyAlignment="0" applyProtection="0"/>
    <xf numFmtId="0" fontId="11" fillId="5" borderId="10" applyNumberFormat="0" applyAlignment="0" applyProtection="0"/>
    <xf numFmtId="0" fontId="12" fillId="5" borderId="9" applyNumberFormat="0" applyAlignment="0" applyProtection="0"/>
    <xf numFmtId="0" fontId="13" fillId="6" borderId="11" applyNumberFormat="0" applyAlignment="0" applyProtection="0"/>
    <xf numFmtId="0" fontId="14" fillId="0" borderId="12" applyNumberFormat="0" applyFill="0" applyAlignment="0" applyProtection="0"/>
    <xf numFmtId="0" fontId="1" fillId="0" borderId="13" applyNumberFormat="0" applyFill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18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18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18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18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18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53">
    <xf numFmtId="0" fontId="0" fillId="0" borderId="0" xfId="0"/>
    <xf numFmtId="176" fontId="0" fillId="0" borderId="0" xfId="1" applyFont="1" applyAlignment="1">
      <alignment vertical="center"/>
    </xf>
    <xf numFmtId="176" fontId="1" fillId="0" borderId="1" xfId="1" applyFont="1" applyBorder="1" applyAlignment="1">
      <alignment horizontal="center" vertical="center"/>
    </xf>
    <xf numFmtId="176" fontId="1" fillId="0" borderId="2" xfId="1" applyFont="1" applyBorder="1" applyAlignment="1">
      <alignment horizontal="center" vertical="center"/>
    </xf>
    <xf numFmtId="0" fontId="0" fillId="0" borderId="1" xfId="0" applyBorder="1"/>
    <xf numFmtId="176" fontId="0" fillId="0" borderId="1" xfId="0" applyNumberFormat="1" applyBorder="1"/>
    <xf numFmtId="0" fontId="0" fillId="0" borderId="2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176" fontId="0" fillId="0" borderId="0" xfId="0" applyNumberFormat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4" xfId="0" applyBorder="1"/>
    <xf numFmtId="14" fontId="0" fillId="0" borderId="0" xfId="0" applyNumberFormat="1" applyFont="1" applyBorder="1" applyAlignment="1">
      <alignment horizontal="center"/>
    </xf>
    <xf numFmtId="177" fontId="0" fillId="0" borderId="0" xfId="0" applyNumberFormat="1" applyFont="1" applyBorder="1" applyAlignment="1">
      <alignment horizontal="center"/>
    </xf>
    <xf numFmtId="178" fontId="0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0" fillId="0" borderId="0" xfId="0" applyNumberFormat="1" applyFill="1" applyBorder="1" applyAlignment="1">
      <alignment horizontal="center" vertical="center"/>
    </xf>
    <xf numFmtId="20" fontId="0" fillId="0" borderId="4" xfId="0" applyNumberFormat="1" applyFill="1" applyBorder="1" applyAlignment="1">
      <alignment horizontal="center" vertical="center"/>
    </xf>
    <xf numFmtId="20" fontId="0" fillId="0" borderId="0" xfId="0" applyNumberFormat="1" applyFill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20" fontId="0" fillId="0" borderId="0" xfId="0" applyNumberFormat="1" applyFill="1" applyAlignment="1">
      <alignment horizontal="center" vertical="center"/>
    </xf>
    <xf numFmtId="20" fontId="0" fillId="0" borderId="4" xfId="0" applyNumberFormat="1" applyFill="1" applyBorder="1" applyAlignment="1">
      <alignment horizontal="center" vertical="center"/>
    </xf>
    <xf numFmtId="20" fontId="0" fillId="0" borderId="0" xfId="0" applyNumberFormat="1" applyFill="1" applyBorder="1" applyAlignment="1">
      <alignment horizontal="center" vertical="center"/>
    </xf>
    <xf numFmtId="20" fontId="0" fillId="0" borderId="4" xfId="0" applyNumberFormat="1" applyFill="1" applyBorder="1" applyAlignment="1">
      <alignment horizontal="center" vertical="center"/>
    </xf>
    <xf numFmtId="20" fontId="0" fillId="0" borderId="0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0" fillId="0" borderId="4" xfId="0" applyNumberFormat="1" applyFont="1" applyBorder="1" applyAlignment="1">
      <alignment horizontal="center"/>
    </xf>
    <xf numFmtId="0" fontId="0" fillId="0" borderId="0" xfId="0" applyBorder="1"/>
    <xf numFmtId="0" fontId="0" fillId="0" borderId="4" xfId="0" applyBorder="1"/>
    <xf numFmtId="177" fontId="1" fillId="0" borderId="0" xfId="0" applyNumberFormat="1" applyFont="1" applyBorder="1" applyAlignment="1">
      <alignment horizontal="center"/>
    </xf>
    <xf numFmtId="178" fontId="1" fillId="0" borderId="0" xfId="0" applyNumberFormat="1" applyFont="1" applyBorder="1" applyAlignment="1">
      <alignment horizontal="center"/>
    </xf>
    <xf numFmtId="177" fontId="0" fillId="0" borderId="4" xfId="0" applyNumberFormat="1" applyFont="1" applyBorder="1" applyAlignment="1">
      <alignment horizontal="center"/>
    </xf>
    <xf numFmtId="178" fontId="0" fillId="0" borderId="4" xfId="0" applyNumberFormat="1" applyFont="1" applyBorder="1" applyAlignment="1">
      <alignment horizontal="center"/>
    </xf>
    <xf numFmtId="176" fontId="0" fillId="0" borderId="0" xfId="0" applyNumberFormat="1" applyFont="1" applyBorder="1" applyAlignment="1">
      <alignment horizontal="center"/>
    </xf>
    <xf numFmtId="176" fontId="0" fillId="0" borderId="4" xfId="0" applyNumberFormat="1" applyFont="1" applyBorder="1" applyAlignment="1">
      <alignment horizontal="center"/>
    </xf>
    <xf numFmtId="178" fontId="0" fillId="0" borderId="0" xfId="0" applyNumberFormat="1" applyFont="1" applyBorder="1" applyAlignment="1">
      <alignment horizontal="center"/>
    </xf>
    <xf numFmtId="176" fontId="0" fillId="0" borderId="0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3"/>
  <sheetViews>
    <sheetView tabSelected="1" zoomScale="53" zoomScaleNormal="53" workbookViewId="0">
      <pane ySplit="1" topLeftCell="A2" activePane="bottomLeft" state="frozen"/>
      <selection/>
      <selection pane="bottomLeft" activeCell="D43" sqref="D43"/>
    </sheetView>
  </sheetViews>
  <sheetFormatPr defaultColWidth="9" defaultRowHeight="16.8"/>
  <cols>
    <col min="1" max="1" width="32.6785714285714" style="16" customWidth="1"/>
    <col min="2" max="2" width="23.2857142857143" style="16" customWidth="1"/>
    <col min="3" max="3" width="22.8571428571429" style="16" customWidth="1"/>
    <col min="4" max="4" width="28.0357142857143" style="16" customWidth="1"/>
    <col min="5" max="5" width="9" style="16"/>
    <col min="6" max="6" width="16.6071428571429" style="19" customWidth="1"/>
    <col min="7" max="8" width="9" style="16"/>
    <col min="9" max="9" width="11.25" style="16" customWidth="1"/>
    <col min="10" max="10" width="8.52678571428571" style="16" customWidth="1"/>
    <col min="11" max="11" width="19.5803571428571" style="16" customWidth="1"/>
    <col min="12" max="12" width="14.75" style="16" customWidth="1"/>
    <col min="13" max="13" width="22.8303571428571" style="20" customWidth="1"/>
    <col min="14" max="14" width="19.1607142857143" style="21" customWidth="1"/>
    <col min="15" max="15" width="21.75" style="16" customWidth="1"/>
    <col min="16" max="16" width="24.4285714285714" style="16" customWidth="1"/>
    <col min="17" max="17" width="10.8303571428571" style="16" customWidth="1"/>
    <col min="18" max="18" width="12.7857142857143" style="16"/>
    <col min="19" max="19" width="9" style="16"/>
    <col min="20" max="20" width="12.7857142857143" style="16"/>
    <col min="21" max="16384" width="9" style="16"/>
  </cols>
  <sheetData>
    <row r="1" s="14" customFormat="1" spans="1:1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31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45" t="s">
        <v>12</v>
      </c>
      <c r="N1" s="46" t="s">
        <v>13</v>
      </c>
      <c r="O1" s="14" t="s">
        <v>14</v>
      </c>
      <c r="P1" s="14" t="s">
        <v>15</v>
      </c>
    </row>
    <row r="2" s="14" customFormat="1" spans="1:14">
      <c r="A2" s="22">
        <v>15113735</v>
      </c>
      <c r="B2" s="22" t="s">
        <v>16</v>
      </c>
      <c r="C2" s="22" t="s">
        <v>17</v>
      </c>
      <c r="D2" s="22" t="s">
        <v>18</v>
      </c>
      <c r="E2" s="22" t="s">
        <v>19</v>
      </c>
      <c r="F2" s="22" t="s">
        <v>20</v>
      </c>
      <c r="G2" s="22" t="s">
        <v>21</v>
      </c>
      <c r="H2" s="32">
        <v>0.413194444444444</v>
      </c>
      <c r="I2" s="32">
        <v>0.75</v>
      </c>
      <c r="J2" s="32">
        <v>0.336805555555556</v>
      </c>
      <c r="L2" s="41">
        <f>HOUR($J2)+MINUTE($J2)/60</f>
        <v>8.08333333333333</v>
      </c>
      <c r="M2" s="20">
        <f>$L2-$K2</f>
        <v>8.08333333333333</v>
      </c>
      <c r="N2" s="21">
        <f>M2</f>
        <v>8.08333333333333</v>
      </c>
    </row>
    <row r="3" s="14" customFormat="1" spans="1:14">
      <c r="A3" s="22">
        <v>2025082101</v>
      </c>
      <c r="B3" s="22" t="s">
        <v>22</v>
      </c>
      <c r="C3" s="22" t="s">
        <v>23</v>
      </c>
      <c r="D3" s="22" t="s">
        <v>24</v>
      </c>
      <c r="E3" s="22" t="s">
        <v>19</v>
      </c>
      <c r="F3" s="22" t="s">
        <v>20</v>
      </c>
      <c r="G3" s="22" t="s">
        <v>21</v>
      </c>
      <c r="H3" s="32">
        <v>0.486805555555556</v>
      </c>
      <c r="I3" s="32">
        <v>0.719444444444444</v>
      </c>
      <c r="J3" s="32">
        <v>0.232638888888889</v>
      </c>
      <c r="L3" s="41">
        <f t="shared" ref="L3:L13" si="0">HOUR($J3)+MINUTE($J3)/60</f>
        <v>5.58333333333333</v>
      </c>
      <c r="M3" s="20">
        <f t="shared" ref="M3:M13" si="1">$L3-$K3</f>
        <v>5.58333333333333</v>
      </c>
      <c r="N3" s="21">
        <f t="shared" ref="N3:N13" si="2">M3</f>
        <v>5.58333333333333</v>
      </c>
    </row>
    <row r="4" s="14" customFormat="1" spans="1:14">
      <c r="A4" s="22">
        <v>2025082201</v>
      </c>
      <c r="B4" s="22" t="s">
        <v>25</v>
      </c>
      <c r="C4" s="22" t="s">
        <v>26</v>
      </c>
      <c r="D4" s="22" t="s">
        <v>26</v>
      </c>
      <c r="E4" s="22" t="s">
        <v>19</v>
      </c>
      <c r="F4" s="22" t="s">
        <v>20</v>
      </c>
      <c r="G4" s="22" t="s">
        <v>21</v>
      </c>
      <c r="H4" s="32">
        <v>0.486805555555556</v>
      </c>
      <c r="I4" s="32">
        <v>0.720138888888889</v>
      </c>
      <c r="J4" s="32">
        <v>0.232638888888889</v>
      </c>
      <c r="L4" s="41">
        <f t="shared" si="0"/>
        <v>5.58333333333333</v>
      </c>
      <c r="M4" s="20">
        <f t="shared" si="1"/>
        <v>5.58333333333333</v>
      </c>
      <c r="N4" s="21">
        <f t="shared" si="2"/>
        <v>5.58333333333333</v>
      </c>
    </row>
    <row r="5" s="14" customFormat="1" spans="1:14">
      <c r="A5" s="22">
        <v>2025082701</v>
      </c>
      <c r="B5" s="22" t="s">
        <v>27</v>
      </c>
      <c r="C5" s="22" t="s">
        <v>28</v>
      </c>
      <c r="D5" s="22" t="s">
        <v>29</v>
      </c>
      <c r="E5" s="22" t="s">
        <v>19</v>
      </c>
      <c r="F5" s="22" t="s">
        <v>20</v>
      </c>
      <c r="G5" s="22" t="s">
        <v>21</v>
      </c>
      <c r="H5" s="32">
        <v>0.5</v>
      </c>
      <c r="I5" s="32">
        <v>0.791666666666667</v>
      </c>
      <c r="J5" s="32">
        <v>0.291666666666667</v>
      </c>
      <c r="L5" s="41">
        <f t="shared" si="0"/>
        <v>7</v>
      </c>
      <c r="M5" s="20">
        <f t="shared" si="1"/>
        <v>7</v>
      </c>
      <c r="N5" s="21">
        <f t="shared" si="2"/>
        <v>7</v>
      </c>
    </row>
    <row r="6" s="14" customFormat="1" spans="1:14">
      <c r="A6" s="22">
        <v>2025100902</v>
      </c>
      <c r="B6" s="22" t="s">
        <v>30</v>
      </c>
      <c r="C6" s="22" t="s">
        <v>31</v>
      </c>
      <c r="D6" s="22" t="s">
        <v>30</v>
      </c>
      <c r="E6" s="22" t="s">
        <v>19</v>
      </c>
      <c r="F6" s="22" t="s">
        <v>20</v>
      </c>
      <c r="G6" s="22" t="s">
        <v>21</v>
      </c>
      <c r="H6" s="32">
        <v>0.497222222222222</v>
      </c>
      <c r="I6" s="32">
        <v>0.720833333333333</v>
      </c>
      <c r="J6" s="32">
        <v>0.222916666666667</v>
      </c>
      <c r="L6" s="41">
        <f t="shared" si="0"/>
        <v>5.35</v>
      </c>
      <c r="M6" s="20">
        <f t="shared" si="1"/>
        <v>5.35</v>
      </c>
      <c r="N6" s="21">
        <f t="shared" si="2"/>
        <v>5.35</v>
      </c>
    </row>
    <row r="7" s="14" customFormat="1" spans="1:14">
      <c r="A7" s="22">
        <v>2025100903</v>
      </c>
      <c r="B7" s="22" t="s">
        <v>32</v>
      </c>
      <c r="C7" s="22" t="s">
        <v>33</v>
      </c>
      <c r="D7" s="22" t="s">
        <v>33</v>
      </c>
      <c r="E7" s="22" t="s">
        <v>19</v>
      </c>
      <c r="F7" s="22" t="s">
        <v>20</v>
      </c>
      <c r="G7" s="22" t="s">
        <v>21</v>
      </c>
      <c r="H7" s="32">
        <v>0.477083333333333</v>
      </c>
      <c r="I7" s="32">
        <v>0.720138888888889</v>
      </c>
      <c r="J7" s="32">
        <v>0.242361111111111</v>
      </c>
      <c r="L7" s="41">
        <f t="shared" si="0"/>
        <v>5.81666666666667</v>
      </c>
      <c r="M7" s="20">
        <f t="shared" si="1"/>
        <v>5.81666666666667</v>
      </c>
      <c r="N7" s="21">
        <f t="shared" si="2"/>
        <v>5.81666666666667</v>
      </c>
    </row>
    <row r="8" s="14" customFormat="1" spans="1:14">
      <c r="A8" s="22">
        <v>2105105606</v>
      </c>
      <c r="B8" s="22" t="s">
        <v>34</v>
      </c>
      <c r="C8" s="22" t="s">
        <v>35</v>
      </c>
      <c r="D8" s="22" t="s">
        <v>36</v>
      </c>
      <c r="E8" s="22" t="s">
        <v>19</v>
      </c>
      <c r="F8" s="22" t="s">
        <v>20</v>
      </c>
      <c r="G8" s="22" t="s">
        <v>21</v>
      </c>
      <c r="H8" s="32">
        <v>0.507638888888889</v>
      </c>
      <c r="I8" s="32">
        <v>0.720138888888889</v>
      </c>
      <c r="J8" s="32">
        <v>0.2125</v>
      </c>
      <c r="L8" s="41">
        <f t="shared" si="0"/>
        <v>5.1</v>
      </c>
      <c r="M8" s="20">
        <f t="shared" si="1"/>
        <v>5.1</v>
      </c>
      <c r="N8" s="21">
        <f t="shared" si="2"/>
        <v>5.1</v>
      </c>
    </row>
    <row r="9" s="14" customFormat="1" spans="1:14">
      <c r="A9" s="22">
        <v>2105161402</v>
      </c>
      <c r="B9" s="22" t="s">
        <v>37</v>
      </c>
      <c r="C9" s="22" t="s">
        <v>22</v>
      </c>
      <c r="D9" s="22" t="s">
        <v>38</v>
      </c>
      <c r="E9" s="22" t="s">
        <v>19</v>
      </c>
      <c r="F9" s="22" t="s">
        <v>20</v>
      </c>
      <c r="G9" s="22" t="s">
        <v>21</v>
      </c>
      <c r="H9" s="32">
        <v>0.491666666666667</v>
      </c>
      <c r="I9" s="32">
        <v>0.720138888888889</v>
      </c>
      <c r="J9" s="32">
        <v>0.228472222222222</v>
      </c>
      <c r="L9" s="41">
        <f t="shared" si="0"/>
        <v>5.48333333333333</v>
      </c>
      <c r="M9" s="20">
        <f t="shared" si="1"/>
        <v>5.48333333333333</v>
      </c>
      <c r="N9" s="21">
        <f t="shared" si="2"/>
        <v>5.48333333333333</v>
      </c>
    </row>
    <row r="10" s="14" customFormat="1" spans="1:14">
      <c r="A10" s="22">
        <v>2105161403</v>
      </c>
      <c r="B10" s="22" t="s">
        <v>39</v>
      </c>
      <c r="C10" s="22" t="s">
        <v>40</v>
      </c>
      <c r="D10" s="22" t="s">
        <v>41</v>
      </c>
      <c r="E10" s="22" t="s">
        <v>19</v>
      </c>
      <c r="F10" s="22" t="s">
        <v>20</v>
      </c>
      <c r="G10" s="22" t="s">
        <v>21</v>
      </c>
      <c r="H10" s="32">
        <v>0.495138888888889</v>
      </c>
      <c r="I10" s="32">
        <v>0.720138888888889</v>
      </c>
      <c r="J10" s="32">
        <v>0.224305555555556</v>
      </c>
      <c r="L10" s="41">
        <f t="shared" si="0"/>
        <v>5.38333333333333</v>
      </c>
      <c r="M10" s="20">
        <f t="shared" si="1"/>
        <v>5.38333333333333</v>
      </c>
      <c r="N10" s="21">
        <f t="shared" si="2"/>
        <v>5.38333333333333</v>
      </c>
    </row>
    <row r="11" s="14" customFormat="1" spans="1:14">
      <c r="A11" s="22"/>
      <c r="B11" s="22" t="s">
        <v>42</v>
      </c>
      <c r="C11" s="22" t="s">
        <v>42</v>
      </c>
      <c r="D11" s="22" t="s">
        <v>42</v>
      </c>
      <c r="E11" s="22" t="s">
        <v>19</v>
      </c>
      <c r="F11" s="22" t="s">
        <v>20</v>
      </c>
      <c r="G11" s="22" t="s">
        <v>21</v>
      </c>
      <c r="H11" s="32">
        <v>0.5</v>
      </c>
      <c r="I11" s="32">
        <v>0.708333333333333</v>
      </c>
      <c r="J11" s="32">
        <v>0.208333333333333</v>
      </c>
      <c r="L11" s="41">
        <f t="shared" si="0"/>
        <v>5</v>
      </c>
      <c r="M11" s="20">
        <f t="shared" si="1"/>
        <v>5</v>
      </c>
      <c r="N11" s="21">
        <f t="shared" si="2"/>
        <v>5</v>
      </c>
    </row>
    <row r="12" s="15" customFormat="1" spans="1:14">
      <c r="A12" s="23"/>
      <c r="B12" s="23" t="s">
        <v>43</v>
      </c>
      <c r="C12" s="23" t="s">
        <v>43</v>
      </c>
      <c r="D12" s="23" t="s">
        <v>43</v>
      </c>
      <c r="E12" s="23" t="s">
        <v>19</v>
      </c>
      <c r="F12" s="23" t="s">
        <v>20</v>
      </c>
      <c r="G12" s="23" t="s">
        <v>21</v>
      </c>
      <c r="H12" s="33">
        <v>0.5</v>
      </c>
      <c r="I12" s="33">
        <v>0.708333333333333</v>
      </c>
      <c r="J12" s="33">
        <v>0.208333333333333</v>
      </c>
      <c r="L12" s="42">
        <f t="shared" si="0"/>
        <v>5</v>
      </c>
      <c r="M12" s="47">
        <f t="shared" si="1"/>
        <v>5</v>
      </c>
      <c r="N12" s="48">
        <f t="shared" si="2"/>
        <v>5</v>
      </c>
    </row>
    <row r="13" s="15" customFormat="1" spans="1:14">
      <c r="A13" s="23">
        <v>2025082701</v>
      </c>
      <c r="B13" s="23" t="s">
        <v>27</v>
      </c>
      <c r="C13" s="23" t="s">
        <v>28</v>
      </c>
      <c r="D13" s="23" t="s">
        <v>29</v>
      </c>
      <c r="E13" s="23" t="s">
        <v>19</v>
      </c>
      <c r="F13" s="23" t="s">
        <v>44</v>
      </c>
      <c r="G13" s="23" t="s">
        <v>45</v>
      </c>
      <c r="H13" s="33">
        <v>0.292361111111111</v>
      </c>
      <c r="I13" s="33">
        <v>0.545138888888889</v>
      </c>
      <c r="J13" s="33">
        <v>0.252083333333333</v>
      </c>
      <c r="L13" s="42">
        <f t="shared" si="0"/>
        <v>6.05</v>
      </c>
      <c r="M13" s="47">
        <f t="shared" si="1"/>
        <v>6.05</v>
      </c>
      <c r="N13" s="48">
        <f t="shared" si="2"/>
        <v>6.05</v>
      </c>
    </row>
    <row r="14" s="14" customFormat="1" spans="1:14">
      <c r="A14" s="24">
        <v>15113735</v>
      </c>
      <c r="B14" s="24" t="s">
        <v>16</v>
      </c>
      <c r="C14" s="24" t="s">
        <v>17</v>
      </c>
      <c r="D14" s="24" t="s">
        <v>18</v>
      </c>
      <c r="E14" s="24" t="s">
        <v>19</v>
      </c>
      <c r="F14" s="24" t="s">
        <v>46</v>
      </c>
      <c r="G14" s="24" t="s">
        <v>47</v>
      </c>
      <c r="H14" s="34">
        <v>0.288194444444444</v>
      </c>
      <c r="I14" s="34">
        <v>0.798611111111111</v>
      </c>
      <c r="J14" s="34">
        <v>0.509722222222222</v>
      </c>
      <c r="L14" s="41">
        <f t="shared" ref="L14:L25" si="3">HOUR($J14)+MINUTE($J14)/60</f>
        <v>12.2333333333333</v>
      </c>
      <c r="M14" s="20">
        <f t="shared" ref="M14:M25" si="4">$L14-$K14</f>
        <v>12.2333333333333</v>
      </c>
      <c r="N14" s="21">
        <f t="shared" ref="N14:N25" si="5">M14</f>
        <v>12.2333333333333</v>
      </c>
    </row>
    <row r="15" s="14" customFormat="1" spans="1:14">
      <c r="A15" s="24">
        <v>15200903</v>
      </c>
      <c r="B15" s="24" t="s">
        <v>48</v>
      </c>
      <c r="C15" s="24" t="s">
        <v>49</v>
      </c>
      <c r="D15" s="24" t="s">
        <v>50</v>
      </c>
      <c r="E15" s="24" t="s">
        <v>19</v>
      </c>
      <c r="F15" s="24" t="s">
        <v>46</v>
      </c>
      <c r="G15" s="24" t="s">
        <v>47</v>
      </c>
      <c r="H15" s="34">
        <v>0.3875</v>
      </c>
      <c r="I15" s="34">
        <v>0.7625</v>
      </c>
      <c r="J15" s="34">
        <v>0.374305555555556</v>
      </c>
      <c r="L15" s="41">
        <f t="shared" si="3"/>
        <v>8.98333333333333</v>
      </c>
      <c r="M15" s="20">
        <f t="shared" si="4"/>
        <v>8.98333333333333</v>
      </c>
      <c r="N15" s="21">
        <f t="shared" si="5"/>
        <v>8.98333333333333</v>
      </c>
    </row>
    <row r="16" s="16" customFormat="1" spans="1:16">
      <c r="A16" s="24">
        <v>15217673</v>
      </c>
      <c r="B16" s="24" t="s">
        <v>51</v>
      </c>
      <c r="C16" s="24" t="s">
        <v>52</v>
      </c>
      <c r="D16" s="24" t="s">
        <v>52</v>
      </c>
      <c r="E16" s="24" t="s">
        <v>19</v>
      </c>
      <c r="F16" s="24" t="s">
        <v>46</v>
      </c>
      <c r="G16" s="24" t="s">
        <v>47</v>
      </c>
      <c r="H16" s="34">
        <v>0.389583333333333</v>
      </c>
      <c r="I16" s="34">
        <v>0.760416666666667</v>
      </c>
      <c r="J16" s="34">
        <v>0.370833333333333</v>
      </c>
      <c r="L16" s="41">
        <f t="shared" si="3"/>
        <v>8.9</v>
      </c>
      <c r="M16" s="20">
        <f t="shared" si="4"/>
        <v>8.9</v>
      </c>
      <c r="N16" s="21">
        <f t="shared" si="5"/>
        <v>8.9</v>
      </c>
      <c r="O16" s="21"/>
      <c r="P16" s="49"/>
    </row>
    <row r="17" s="16" customFormat="1" spans="1:16">
      <c r="A17" s="24">
        <v>2025082101</v>
      </c>
      <c r="B17" s="24" t="s">
        <v>22</v>
      </c>
      <c r="C17" s="24" t="s">
        <v>23</v>
      </c>
      <c r="D17" s="24" t="s">
        <v>24</v>
      </c>
      <c r="E17" s="24" t="s">
        <v>19</v>
      </c>
      <c r="F17" s="24" t="s">
        <v>46</v>
      </c>
      <c r="G17" s="24" t="s">
        <v>47</v>
      </c>
      <c r="H17" s="34">
        <v>0.397916666666667</v>
      </c>
      <c r="I17" s="34">
        <v>0.75625</v>
      </c>
      <c r="J17" s="34">
        <v>0.358333333333333</v>
      </c>
      <c r="L17" s="41">
        <f t="shared" si="3"/>
        <v>8.6</v>
      </c>
      <c r="M17" s="20">
        <f t="shared" si="4"/>
        <v>8.6</v>
      </c>
      <c r="N17" s="21">
        <f t="shared" si="5"/>
        <v>8.6</v>
      </c>
      <c r="O17" s="21"/>
      <c r="P17" s="49"/>
    </row>
    <row r="18" spans="1:16">
      <c r="A18" s="24">
        <v>2025082201</v>
      </c>
      <c r="B18" s="24" t="s">
        <v>25</v>
      </c>
      <c r="C18" s="24" t="s">
        <v>26</v>
      </c>
      <c r="D18" s="24" t="s">
        <v>26</v>
      </c>
      <c r="E18" s="24" t="s">
        <v>19</v>
      </c>
      <c r="F18" s="24" t="s">
        <v>46</v>
      </c>
      <c r="G18" s="24" t="s">
        <v>47</v>
      </c>
      <c r="H18" s="34">
        <v>0.398611111111111</v>
      </c>
      <c r="I18" s="34">
        <v>0.75625</v>
      </c>
      <c r="J18" s="34">
        <v>0.357638888888889</v>
      </c>
      <c r="L18" s="41">
        <f t="shared" si="3"/>
        <v>8.58333333333333</v>
      </c>
      <c r="M18" s="20">
        <f t="shared" si="4"/>
        <v>8.58333333333333</v>
      </c>
      <c r="N18" s="21">
        <f t="shared" si="5"/>
        <v>8.58333333333333</v>
      </c>
      <c r="O18" s="21"/>
      <c r="P18" s="49"/>
    </row>
    <row r="19" spans="1:16">
      <c r="A19" s="24">
        <v>2025082701</v>
      </c>
      <c r="B19" s="24" t="s">
        <v>27</v>
      </c>
      <c r="C19" s="24" t="s">
        <v>28</v>
      </c>
      <c r="D19" s="24" t="s">
        <v>29</v>
      </c>
      <c r="E19" s="24" t="s">
        <v>19</v>
      </c>
      <c r="F19" s="24" t="s">
        <v>46</v>
      </c>
      <c r="G19" s="24" t="s">
        <v>47</v>
      </c>
      <c r="H19" s="34">
        <v>0.291666666666667</v>
      </c>
      <c r="I19" s="34">
        <v>0.838194444444444</v>
      </c>
      <c r="J19" s="34">
        <v>0.546527777777778</v>
      </c>
      <c r="L19" s="41">
        <f t="shared" si="3"/>
        <v>13.1166666666667</v>
      </c>
      <c r="M19" s="20">
        <f t="shared" si="4"/>
        <v>13.1166666666667</v>
      </c>
      <c r="N19" s="21">
        <f t="shared" si="5"/>
        <v>13.1166666666667</v>
      </c>
      <c r="O19" s="21"/>
      <c r="P19" s="49"/>
    </row>
    <row r="20" spans="1:16">
      <c r="A20" s="24">
        <v>2025100902</v>
      </c>
      <c r="B20" s="24" t="s">
        <v>30</v>
      </c>
      <c r="C20" s="24" t="s">
        <v>31</v>
      </c>
      <c r="D20" s="24" t="s">
        <v>30</v>
      </c>
      <c r="E20" s="24" t="s">
        <v>19</v>
      </c>
      <c r="F20" s="24" t="s">
        <v>46</v>
      </c>
      <c r="G20" s="24" t="s">
        <v>47</v>
      </c>
      <c r="H20" s="34">
        <v>0.390277777777778</v>
      </c>
      <c r="I20" s="34">
        <v>0.702083333333333</v>
      </c>
      <c r="J20" s="34">
        <v>0.311111111111111</v>
      </c>
      <c r="L20" s="41">
        <f t="shared" si="3"/>
        <v>7.46666666666667</v>
      </c>
      <c r="M20" s="20">
        <f t="shared" si="4"/>
        <v>7.46666666666667</v>
      </c>
      <c r="N20" s="21">
        <f t="shared" si="5"/>
        <v>7.46666666666667</v>
      </c>
      <c r="O20" s="21"/>
      <c r="P20" s="49"/>
    </row>
    <row r="21" spans="1:16">
      <c r="A21" s="24">
        <v>2025100903</v>
      </c>
      <c r="B21" s="24" t="s">
        <v>32</v>
      </c>
      <c r="C21" s="24" t="s">
        <v>33</v>
      </c>
      <c r="D21" s="24" t="s">
        <v>33</v>
      </c>
      <c r="E21" s="24" t="s">
        <v>19</v>
      </c>
      <c r="F21" s="24" t="s">
        <v>46</v>
      </c>
      <c r="G21" s="24" t="s">
        <v>47</v>
      </c>
      <c r="H21" s="34">
        <v>0.390277777777778</v>
      </c>
      <c r="I21" s="34">
        <v>0.734722222222222</v>
      </c>
      <c r="J21" s="34">
        <v>0.344444444444444</v>
      </c>
      <c r="L21" s="41">
        <f t="shared" si="3"/>
        <v>8.26666666666667</v>
      </c>
      <c r="M21" s="20">
        <f t="shared" si="4"/>
        <v>8.26666666666667</v>
      </c>
      <c r="N21" s="21">
        <f t="shared" si="5"/>
        <v>8.26666666666667</v>
      </c>
      <c r="O21" s="21"/>
      <c r="P21" s="49"/>
    </row>
    <row r="22" s="16" customFormat="1" spans="1:16">
      <c r="A22" s="24">
        <v>2105105606</v>
      </c>
      <c r="B22" s="24" t="s">
        <v>34</v>
      </c>
      <c r="C22" s="24" t="s">
        <v>35</v>
      </c>
      <c r="D22" s="24" t="s">
        <v>36</v>
      </c>
      <c r="E22" s="24" t="s">
        <v>19</v>
      </c>
      <c r="F22" s="24" t="s">
        <v>46</v>
      </c>
      <c r="G22" s="24" t="s">
        <v>47</v>
      </c>
      <c r="H22" s="34">
        <v>0.390972222222222</v>
      </c>
      <c r="I22" s="34">
        <v>0.658333333333333</v>
      </c>
      <c r="J22" s="34">
        <v>0.266666666666667</v>
      </c>
      <c r="L22" s="41">
        <f t="shared" si="3"/>
        <v>6.4</v>
      </c>
      <c r="M22" s="20">
        <f t="shared" si="4"/>
        <v>6.4</v>
      </c>
      <c r="N22" s="21">
        <f t="shared" si="5"/>
        <v>6.4</v>
      </c>
      <c r="O22" s="21"/>
      <c r="P22" s="49"/>
    </row>
    <row r="23" spans="1:16">
      <c r="A23" s="24">
        <v>2105161402</v>
      </c>
      <c r="B23" s="24" t="s">
        <v>37</v>
      </c>
      <c r="C23" s="24" t="s">
        <v>22</v>
      </c>
      <c r="D23" s="24" t="s">
        <v>38</v>
      </c>
      <c r="E23" s="24" t="s">
        <v>19</v>
      </c>
      <c r="F23" s="24" t="s">
        <v>46</v>
      </c>
      <c r="G23" s="24" t="s">
        <v>47</v>
      </c>
      <c r="H23" s="34">
        <v>0.368055555555556</v>
      </c>
      <c r="I23" s="34">
        <v>0.761805555555556</v>
      </c>
      <c r="J23" s="34">
        <v>0.39375</v>
      </c>
      <c r="L23" s="41">
        <f t="shared" si="3"/>
        <v>9.45</v>
      </c>
      <c r="M23" s="20">
        <f t="shared" si="4"/>
        <v>9.45</v>
      </c>
      <c r="N23" s="21">
        <f t="shared" si="5"/>
        <v>9.45</v>
      </c>
      <c r="O23" s="21"/>
      <c r="P23" s="49"/>
    </row>
    <row r="24" s="16" customFormat="1" spans="1:16">
      <c r="A24" s="22"/>
      <c r="B24" s="22" t="s">
        <v>42</v>
      </c>
      <c r="C24" s="22" t="s">
        <v>42</v>
      </c>
      <c r="D24" s="22" t="s">
        <v>42</v>
      </c>
      <c r="E24" s="24" t="s">
        <v>19</v>
      </c>
      <c r="F24" s="24" t="s">
        <v>46</v>
      </c>
      <c r="G24" s="24" t="s">
        <v>47</v>
      </c>
      <c r="H24" s="32">
        <v>0.395833333333333</v>
      </c>
      <c r="I24" s="32">
        <v>0.1875</v>
      </c>
      <c r="J24" s="32">
        <v>0.291666666666667</v>
      </c>
      <c r="L24" s="41">
        <f t="shared" si="3"/>
        <v>7</v>
      </c>
      <c r="M24" s="20">
        <f t="shared" si="4"/>
        <v>7</v>
      </c>
      <c r="N24" s="21">
        <f t="shared" si="5"/>
        <v>7</v>
      </c>
      <c r="O24" s="21"/>
      <c r="P24" s="49"/>
    </row>
    <row r="25" s="17" customFormat="1" spans="1:16">
      <c r="A25" s="23"/>
      <c r="B25" s="23" t="s">
        <v>43</v>
      </c>
      <c r="C25" s="23" t="s">
        <v>43</v>
      </c>
      <c r="D25" s="23" t="s">
        <v>43</v>
      </c>
      <c r="E25" s="35" t="s">
        <v>19</v>
      </c>
      <c r="F25" s="35" t="s">
        <v>46</v>
      </c>
      <c r="G25" s="35" t="s">
        <v>47</v>
      </c>
      <c r="H25" s="33">
        <v>0.46875</v>
      </c>
      <c r="I25" s="33">
        <v>0.71875</v>
      </c>
      <c r="J25" s="33">
        <v>0.25</v>
      </c>
      <c r="K25" s="17"/>
      <c r="L25" s="42">
        <f t="shared" si="3"/>
        <v>6</v>
      </c>
      <c r="M25" s="47">
        <f t="shared" si="4"/>
        <v>6</v>
      </c>
      <c r="N25" s="48">
        <f t="shared" si="5"/>
        <v>6</v>
      </c>
      <c r="O25" s="48"/>
      <c r="P25" s="50"/>
    </row>
    <row r="26" customFormat="1" spans="1:16">
      <c r="A26" s="25">
        <v>15113735</v>
      </c>
      <c r="B26" s="25" t="s">
        <v>16</v>
      </c>
      <c r="C26" s="25" t="s">
        <v>17</v>
      </c>
      <c r="D26" s="25" t="s">
        <v>18</v>
      </c>
      <c r="E26" s="25" t="s">
        <v>19</v>
      </c>
      <c r="F26" s="25" t="s">
        <v>53</v>
      </c>
      <c r="G26" s="25" t="s">
        <v>54</v>
      </c>
      <c r="H26" s="36">
        <v>0.430555555555556</v>
      </c>
      <c r="I26" s="36">
        <v>0.555555555555556</v>
      </c>
      <c r="J26" s="36">
        <v>0.124305555555556</v>
      </c>
      <c r="K26" s="43"/>
      <c r="L26" s="41">
        <f>HOUR($J26)+MINUTE($J26)/60</f>
        <v>2.98333333333333</v>
      </c>
      <c r="M26" s="20">
        <f>$L26-$K26</f>
        <v>2.98333333333333</v>
      </c>
      <c r="N26" s="21">
        <f>M26</f>
        <v>2.98333333333333</v>
      </c>
      <c r="O26" s="51"/>
      <c r="P26" s="52"/>
    </row>
    <row r="27" s="18" customFormat="1" spans="1:16">
      <c r="A27" s="26">
        <v>2025082701</v>
      </c>
      <c r="B27" s="26" t="s">
        <v>27</v>
      </c>
      <c r="C27" s="26" t="s">
        <v>28</v>
      </c>
      <c r="D27" s="26" t="s">
        <v>29</v>
      </c>
      <c r="E27" s="26" t="s">
        <v>19</v>
      </c>
      <c r="F27" s="26" t="s">
        <v>53</v>
      </c>
      <c r="G27" s="26" t="s">
        <v>54</v>
      </c>
      <c r="H27" s="37">
        <v>0.289583333333333</v>
      </c>
      <c r="I27" s="37">
        <v>0.546527777777778</v>
      </c>
      <c r="J27" s="37">
        <v>0.256944444444444</v>
      </c>
      <c r="K27" s="44"/>
      <c r="L27" s="42">
        <f>HOUR($J27)+MINUTE($J27)/60</f>
        <v>6.16666666666667</v>
      </c>
      <c r="M27" s="47">
        <f>$L27-$K27</f>
        <v>6.16666666666667</v>
      </c>
      <c r="N27" s="48">
        <f>M27</f>
        <v>6.16666666666667</v>
      </c>
      <c r="O27" s="48"/>
      <c r="P27" s="50"/>
    </row>
    <row r="28" spans="1:16">
      <c r="A28" s="25">
        <v>15113735</v>
      </c>
      <c r="B28" s="25" t="s">
        <v>16</v>
      </c>
      <c r="C28" s="25" t="s">
        <v>17</v>
      </c>
      <c r="D28" s="25" t="s">
        <v>18</v>
      </c>
      <c r="E28" s="25" t="s">
        <v>19</v>
      </c>
      <c r="F28" s="25" t="s">
        <v>55</v>
      </c>
      <c r="G28" s="25" t="s">
        <v>56</v>
      </c>
      <c r="H28" s="36">
        <v>0.393055555555556</v>
      </c>
      <c r="I28" s="36">
        <v>0.722222222222222</v>
      </c>
      <c r="J28" s="36">
        <v>0.329166666666667</v>
      </c>
      <c r="L28" s="41">
        <f t="shared" ref="L28:L36" si="6">HOUR($J28)+MINUTE($J28)/60</f>
        <v>7.9</v>
      </c>
      <c r="M28" s="20">
        <f t="shared" ref="M28:M36" si="7">$L28-$K28</f>
        <v>7.9</v>
      </c>
      <c r="N28" s="21">
        <f t="shared" ref="N28:N36" si="8">M28</f>
        <v>7.9</v>
      </c>
      <c r="O28" s="21"/>
      <c r="P28" s="49"/>
    </row>
    <row r="29" spans="1:16">
      <c r="A29" s="25">
        <v>15200903</v>
      </c>
      <c r="B29" s="25" t="s">
        <v>48</v>
      </c>
      <c r="C29" s="25" t="s">
        <v>49</v>
      </c>
      <c r="D29" s="25" t="s">
        <v>50</v>
      </c>
      <c r="E29" s="25" t="s">
        <v>19</v>
      </c>
      <c r="F29" s="25" t="s">
        <v>55</v>
      </c>
      <c r="G29" s="25" t="s">
        <v>56</v>
      </c>
      <c r="H29" s="36">
        <v>0.457638888888889</v>
      </c>
      <c r="I29" s="36">
        <v>0.722222222222222</v>
      </c>
      <c r="J29" s="36">
        <v>0.263888888888889</v>
      </c>
      <c r="L29" s="41">
        <f t="shared" si="6"/>
        <v>6.33333333333333</v>
      </c>
      <c r="M29" s="20">
        <f t="shared" si="7"/>
        <v>6.33333333333333</v>
      </c>
      <c r="N29" s="21">
        <f t="shared" si="8"/>
        <v>6.33333333333333</v>
      </c>
      <c r="O29" s="21"/>
      <c r="P29" s="49"/>
    </row>
    <row r="30" spans="1:16">
      <c r="A30" s="25">
        <v>15217673</v>
      </c>
      <c r="B30" s="25" t="s">
        <v>51</v>
      </c>
      <c r="C30" s="25" t="s">
        <v>52</v>
      </c>
      <c r="D30" s="25" t="s">
        <v>52</v>
      </c>
      <c r="E30" s="25" t="s">
        <v>19</v>
      </c>
      <c r="F30" s="25" t="s">
        <v>55</v>
      </c>
      <c r="G30" s="25" t="s">
        <v>56</v>
      </c>
      <c r="H30" s="36">
        <v>0.452083333333333</v>
      </c>
      <c r="I30" s="36">
        <v>0.7125</v>
      </c>
      <c r="J30" s="36">
        <v>0.260416666666667</v>
      </c>
      <c r="L30" s="41">
        <f t="shared" si="6"/>
        <v>6.25</v>
      </c>
      <c r="M30" s="20">
        <f t="shared" si="7"/>
        <v>6.25</v>
      </c>
      <c r="N30" s="21">
        <f t="shared" si="8"/>
        <v>6.25</v>
      </c>
      <c r="O30" s="49"/>
      <c r="P30" s="49"/>
    </row>
    <row r="31" spans="1:16">
      <c r="A31" s="25">
        <v>2025082101</v>
      </c>
      <c r="B31" s="25" t="s">
        <v>22</v>
      </c>
      <c r="C31" s="25" t="s">
        <v>23</v>
      </c>
      <c r="D31" s="25" t="s">
        <v>24</v>
      </c>
      <c r="E31" s="25" t="s">
        <v>19</v>
      </c>
      <c r="F31" s="25" t="s">
        <v>55</v>
      </c>
      <c r="G31" s="25" t="s">
        <v>56</v>
      </c>
      <c r="H31" s="36">
        <v>0.463194444444444</v>
      </c>
      <c r="I31" s="36">
        <v>0.710416666666667</v>
      </c>
      <c r="J31" s="36">
        <v>0.247222222222222</v>
      </c>
      <c r="L31" s="41">
        <f t="shared" si="6"/>
        <v>5.93333333333333</v>
      </c>
      <c r="M31" s="20">
        <f t="shared" si="7"/>
        <v>5.93333333333333</v>
      </c>
      <c r="N31" s="21">
        <f t="shared" si="8"/>
        <v>5.93333333333333</v>
      </c>
      <c r="O31" s="49"/>
      <c r="P31" s="49"/>
    </row>
    <row r="32" spans="1:16">
      <c r="A32" s="25">
        <v>2025082201</v>
      </c>
      <c r="B32" s="25" t="s">
        <v>25</v>
      </c>
      <c r="C32" s="25" t="s">
        <v>26</v>
      </c>
      <c r="D32" s="25" t="s">
        <v>26</v>
      </c>
      <c r="E32" s="25" t="s">
        <v>19</v>
      </c>
      <c r="F32" s="25" t="s">
        <v>55</v>
      </c>
      <c r="G32" s="25" t="s">
        <v>56</v>
      </c>
      <c r="H32" s="36">
        <v>0.463194444444444</v>
      </c>
      <c r="I32" s="36">
        <v>0.711805555555556</v>
      </c>
      <c r="J32" s="36">
        <v>0.248611111111111</v>
      </c>
      <c r="L32" s="41">
        <f t="shared" si="6"/>
        <v>5.96666666666667</v>
      </c>
      <c r="M32" s="20">
        <f t="shared" si="7"/>
        <v>5.96666666666667</v>
      </c>
      <c r="N32" s="21">
        <f t="shared" si="8"/>
        <v>5.96666666666667</v>
      </c>
      <c r="O32" s="49"/>
      <c r="P32" s="49"/>
    </row>
    <row r="33" spans="1:16">
      <c r="A33" s="25">
        <v>2025082701</v>
      </c>
      <c r="B33" s="25" t="s">
        <v>27</v>
      </c>
      <c r="C33" s="25" t="s">
        <v>28</v>
      </c>
      <c r="D33" s="25" t="s">
        <v>29</v>
      </c>
      <c r="E33" s="25" t="s">
        <v>19</v>
      </c>
      <c r="F33" s="25" t="s">
        <v>55</v>
      </c>
      <c r="G33" s="25" t="s">
        <v>56</v>
      </c>
      <c r="H33" s="36">
        <v>0.454166666666667</v>
      </c>
      <c r="I33" s="36">
        <v>0.805555555555556</v>
      </c>
      <c r="J33" s="36">
        <v>0.351388888888889</v>
      </c>
      <c r="L33" s="41">
        <f t="shared" si="6"/>
        <v>8.43333333333333</v>
      </c>
      <c r="M33" s="20">
        <f t="shared" si="7"/>
        <v>8.43333333333333</v>
      </c>
      <c r="N33" s="21">
        <f t="shared" si="8"/>
        <v>8.43333333333333</v>
      </c>
      <c r="O33" s="49"/>
      <c r="P33" s="49"/>
    </row>
    <row r="34" spans="1:16">
      <c r="A34" s="25">
        <v>2025100903</v>
      </c>
      <c r="B34" s="25" t="s">
        <v>32</v>
      </c>
      <c r="C34" s="25" t="s">
        <v>33</v>
      </c>
      <c r="D34" s="25" t="s">
        <v>33</v>
      </c>
      <c r="E34" s="25" t="s">
        <v>19</v>
      </c>
      <c r="F34" s="25" t="s">
        <v>55</v>
      </c>
      <c r="G34" s="25" t="s">
        <v>56</v>
      </c>
      <c r="H34" s="36">
        <v>0.439583333333333</v>
      </c>
      <c r="I34" s="36">
        <v>0.711111111111111</v>
      </c>
      <c r="J34" s="36">
        <v>0.271527777777778</v>
      </c>
      <c r="L34" s="41">
        <f t="shared" si="6"/>
        <v>6.51666666666667</v>
      </c>
      <c r="M34" s="20">
        <f t="shared" si="7"/>
        <v>6.51666666666667</v>
      </c>
      <c r="N34" s="21">
        <f t="shared" si="8"/>
        <v>6.51666666666667</v>
      </c>
      <c r="O34" s="49"/>
      <c r="P34" s="49"/>
    </row>
    <row r="35" spans="1:16">
      <c r="A35" s="27">
        <v>2105105606</v>
      </c>
      <c r="B35" s="27" t="s">
        <v>34</v>
      </c>
      <c r="C35" s="27" t="s">
        <v>35</v>
      </c>
      <c r="D35" s="27" t="s">
        <v>36</v>
      </c>
      <c r="E35" s="27" t="s">
        <v>19</v>
      </c>
      <c r="F35" s="27" t="s">
        <v>55</v>
      </c>
      <c r="G35" s="27" t="s">
        <v>56</v>
      </c>
      <c r="H35" s="38">
        <v>0.456944444444444</v>
      </c>
      <c r="I35" s="38">
        <v>0.711111111111111</v>
      </c>
      <c r="J35" s="38">
        <v>0.254166666666667</v>
      </c>
      <c r="L35" s="41">
        <f t="shared" si="6"/>
        <v>6.1</v>
      </c>
      <c r="M35" s="20">
        <f t="shared" si="7"/>
        <v>6.1</v>
      </c>
      <c r="N35" s="21">
        <f t="shared" si="8"/>
        <v>6.1</v>
      </c>
      <c r="O35" s="49"/>
      <c r="P35" s="49"/>
    </row>
    <row r="36" s="17" customFormat="1" spans="1:16">
      <c r="A36" s="28">
        <v>2105161402</v>
      </c>
      <c r="B36" s="28" t="s">
        <v>37</v>
      </c>
      <c r="C36" s="28" t="s">
        <v>22</v>
      </c>
      <c r="D36" s="28" t="s">
        <v>38</v>
      </c>
      <c r="E36" s="28" t="s">
        <v>19</v>
      </c>
      <c r="F36" s="28" t="s">
        <v>55</v>
      </c>
      <c r="G36" s="28" t="s">
        <v>56</v>
      </c>
      <c r="H36" s="39">
        <v>0.440277777777778</v>
      </c>
      <c r="I36" s="39">
        <v>0.722222222222222</v>
      </c>
      <c r="J36" s="39">
        <v>0.28125</v>
      </c>
      <c r="K36" s="17"/>
      <c r="L36" s="42">
        <f t="shared" si="6"/>
        <v>6.75</v>
      </c>
      <c r="M36" s="47">
        <f t="shared" si="7"/>
        <v>6.75</v>
      </c>
      <c r="N36" s="48">
        <f t="shared" si="8"/>
        <v>6.75</v>
      </c>
      <c r="O36" s="50"/>
      <c r="P36" s="50"/>
    </row>
    <row r="37" spans="1:14">
      <c r="A37" s="27">
        <v>2025082701</v>
      </c>
      <c r="B37" s="27" t="s">
        <v>27</v>
      </c>
      <c r="C37" s="27" t="s">
        <v>28</v>
      </c>
      <c r="D37" s="27" t="s">
        <v>29</v>
      </c>
      <c r="E37" s="27" t="s">
        <v>19</v>
      </c>
      <c r="F37" s="27" t="s">
        <v>57</v>
      </c>
      <c r="G37" s="27" t="s">
        <v>58</v>
      </c>
      <c r="H37" s="38">
        <v>0.291666666666667</v>
      </c>
      <c r="I37" s="38">
        <v>0.525</v>
      </c>
      <c r="J37" s="38">
        <v>0.232638888888889</v>
      </c>
      <c r="L37" s="41">
        <f>HOUR($J37)+MINUTE($J37)/60</f>
        <v>5.58333333333333</v>
      </c>
      <c r="M37" s="20">
        <f>$L37-$K37</f>
        <v>5.58333333333333</v>
      </c>
      <c r="N37" s="21">
        <f>M37</f>
        <v>5.58333333333333</v>
      </c>
    </row>
    <row r="38" s="17" customFormat="1" spans="1:16">
      <c r="A38" s="28">
        <v>2025100903</v>
      </c>
      <c r="B38" s="28" t="s">
        <v>32</v>
      </c>
      <c r="C38" s="28" t="s">
        <v>33</v>
      </c>
      <c r="D38" s="28" t="s">
        <v>33</v>
      </c>
      <c r="E38" s="28" t="s">
        <v>19</v>
      </c>
      <c r="F38" s="28" t="s">
        <v>57</v>
      </c>
      <c r="G38" s="28" t="s">
        <v>58</v>
      </c>
      <c r="H38" s="39">
        <v>0.334027777777778</v>
      </c>
      <c r="I38" s="39">
        <v>0.545833333333333</v>
      </c>
      <c r="J38" s="39">
        <v>0.211111111111111</v>
      </c>
      <c r="K38" s="17"/>
      <c r="L38" s="42">
        <f>HOUR($J38)+MINUTE($J38)/60</f>
        <v>5.06666666666667</v>
      </c>
      <c r="M38" s="47">
        <f>$L38-$K38</f>
        <v>5.06666666666667</v>
      </c>
      <c r="N38" s="48">
        <f>M38</f>
        <v>5.06666666666667</v>
      </c>
      <c r="O38" s="50"/>
      <c r="P38" s="50"/>
    </row>
    <row r="39" spans="8:16">
      <c r="H39" s="40"/>
      <c r="I39" s="40"/>
      <c r="J39" s="40"/>
      <c r="L39" s="41"/>
      <c r="M39" s="21"/>
      <c r="O39" s="49"/>
      <c r="P39" s="49"/>
    </row>
    <row r="40" spans="8:16">
      <c r="H40" s="40"/>
      <c r="I40" s="40"/>
      <c r="J40" s="40"/>
      <c r="L40" s="41"/>
      <c r="M40" s="21"/>
      <c r="O40" s="49"/>
      <c r="P40" s="49"/>
    </row>
    <row r="41" spans="8:16">
      <c r="H41" s="40"/>
      <c r="I41" s="40"/>
      <c r="J41" s="40"/>
      <c r="L41" s="41"/>
      <c r="M41" s="21"/>
      <c r="P41" s="49"/>
    </row>
    <row r="42" spans="8:16">
      <c r="H42" s="40"/>
      <c r="I42" s="40"/>
      <c r="J42" s="40"/>
      <c r="L42" s="41"/>
      <c r="M42" s="21"/>
      <c r="P42" s="49"/>
    </row>
    <row r="43" spans="8:16">
      <c r="H43" s="40"/>
      <c r="I43" s="40"/>
      <c r="J43" s="40"/>
      <c r="L43" s="41"/>
      <c r="M43" s="21"/>
      <c r="P43" s="49"/>
    </row>
    <row r="44" spans="8:16">
      <c r="H44" s="40"/>
      <c r="I44" s="40"/>
      <c r="J44" s="40"/>
      <c r="L44" s="41"/>
      <c r="M44" s="21"/>
      <c r="P44" s="49"/>
    </row>
    <row r="45" ht="17" spans="1:13">
      <c r="A45" s="29" t="s">
        <v>59</v>
      </c>
      <c r="B45" s="30">
        <v>31.98</v>
      </c>
      <c r="C45" s="30">
        <v>34.44</v>
      </c>
      <c r="D45" s="30">
        <v>36.9</v>
      </c>
      <c r="M45" s="21"/>
    </row>
    <row r="46" spans="1:13">
      <c r="A46" s="30" t="s">
        <v>60</v>
      </c>
      <c r="B46" s="30">
        <f>B45*1.25</f>
        <v>39.975</v>
      </c>
      <c r="C46" s="30">
        <f t="shared" ref="C46:D46" si="9">C45*1.25</f>
        <v>43.05</v>
      </c>
      <c r="D46" s="30">
        <f t="shared" si="9"/>
        <v>46.125</v>
      </c>
      <c r="M46" s="21"/>
    </row>
    <row r="47" spans="1:13">
      <c r="A47" s="30" t="s">
        <v>61</v>
      </c>
      <c r="B47" s="30">
        <v>79.95</v>
      </c>
      <c r="C47" s="30">
        <v>86.1</v>
      </c>
      <c r="D47" s="30">
        <v>92.25</v>
      </c>
      <c r="M47" s="21"/>
    </row>
    <row r="48" spans="13:13">
      <c r="M48" s="21"/>
    </row>
    <row r="49" spans="13:13">
      <c r="M49" s="21"/>
    </row>
    <row r="50" spans="13:13">
      <c r="M50" s="21"/>
    </row>
    <row r="51" spans="13:13">
      <c r="M51" s="21"/>
    </row>
    <row r="52" spans="13:13">
      <c r="M52" s="21"/>
    </row>
    <row r="53" spans="13:13">
      <c r="M53" s="21"/>
    </row>
    <row r="54" spans="13:13">
      <c r="M54" s="21"/>
    </row>
    <row r="55" spans="13:13">
      <c r="M55" s="21"/>
    </row>
    <row r="56" spans="13:13">
      <c r="M56" s="21"/>
    </row>
    <row r="57" spans="13:13">
      <c r="M57" s="21"/>
    </row>
    <row r="58" spans="13:13">
      <c r="M58" s="21"/>
    </row>
    <row r="59" spans="13:13">
      <c r="M59" s="21"/>
    </row>
    <row r="60" spans="13:13">
      <c r="M60" s="21"/>
    </row>
    <row r="61" spans="13:13">
      <c r="M61" s="21"/>
    </row>
    <row r="62" spans="13:13">
      <c r="M62" s="21"/>
    </row>
    <row r="63" spans="13:13">
      <c r="M63" s="21"/>
    </row>
  </sheetData>
  <autoFilter xmlns:etc="http://www.wps.cn/officeDocument/2017/etCustomData" ref="A1:D49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H14" sqref="H14"/>
    </sheetView>
  </sheetViews>
  <sheetFormatPr defaultColWidth="9" defaultRowHeight="16.8" outlineLevelRow="7" outlineLevelCol="3"/>
  <cols>
    <col min="2" max="3" width="12.3303571428571" customWidth="1"/>
    <col min="4" max="4" width="14.3303571428571" customWidth="1"/>
  </cols>
  <sheetData>
    <row r="1" spans="1:4">
      <c r="A1" s="4" t="s">
        <v>6</v>
      </c>
      <c r="B1" s="4" t="s">
        <v>62</v>
      </c>
      <c r="C1" s="4" t="s">
        <v>63</v>
      </c>
      <c r="D1" s="4" t="s">
        <v>64</v>
      </c>
    </row>
    <row r="2" spans="1:4">
      <c r="A2" s="4" t="s">
        <v>21</v>
      </c>
      <c r="B2" s="4"/>
      <c r="C2" s="4"/>
      <c r="D2" s="4"/>
    </row>
    <row r="3" spans="1:4">
      <c r="A3" s="4" t="s">
        <v>65</v>
      </c>
      <c r="B3" s="4"/>
      <c r="C3" s="4"/>
      <c r="D3" s="4"/>
    </row>
    <row r="4" spans="1:4">
      <c r="A4" s="4" t="s">
        <v>47</v>
      </c>
      <c r="B4" s="4"/>
      <c r="C4" s="4"/>
      <c r="D4" s="4"/>
    </row>
    <row r="5" spans="1:4">
      <c r="A5" s="4" t="s">
        <v>54</v>
      </c>
      <c r="B5" s="4"/>
      <c r="C5" s="4"/>
      <c r="D5" s="4"/>
    </row>
    <row r="6" spans="1:4">
      <c r="A6" s="4" t="s">
        <v>56</v>
      </c>
      <c r="B6" s="4"/>
      <c r="C6" s="4"/>
      <c r="D6" s="4"/>
    </row>
    <row r="7" spans="1:4">
      <c r="A7" s="4" t="s">
        <v>58</v>
      </c>
      <c r="B7" s="4"/>
      <c r="C7" s="4"/>
      <c r="D7" s="4"/>
    </row>
    <row r="8" spans="1:4">
      <c r="A8" s="4" t="s">
        <v>66</v>
      </c>
      <c r="B8" s="4"/>
      <c r="C8" s="4"/>
      <c r="D8" s="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B32" sqref="B32"/>
    </sheetView>
  </sheetViews>
  <sheetFormatPr defaultColWidth="9" defaultRowHeight="16.8"/>
  <cols>
    <col min="1" max="1" width="12.8303571428571" customWidth="1"/>
    <col min="2" max="2" width="13.8303571428571" customWidth="1"/>
    <col min="3" max="3" width="15.8303571428571" customWidth="1"/>
    <col min="4" max="4" width="11.8303571428571" customWidth="1"/>
    <col min="5" max="5" width="13.8303571428571" customWidth="1"/>
  </cols>
  <sheetData>
    <row r="1" spans="1:10">
      <c r="A1" s="1"/>
      <c r="B1" s="2" t="s">
        <v>67</v>
      </c>
      <c r="C1" s="2"/>
      <c r="D1" s="3"/>
      <c r="E1" s="10" t="s">
        <v>68</v>
      </c>
      <c r="F1" s="11"/>
      <c r="G1" s="12"/>
      <c r="H1" s="10" t="s">
        <v>69</v>
      </c>
      <c r="I1" s="11"/>
      <c r="J1" s="12"/>
    </row>
    <row r="2" spans="1:10">
      <c r="A2" s="4"/>
      <c r="B2" s="4" t="s">
        <v>70</v>
      </c>
      <c r="C2" s="5" t="s">
        <v>71</v>
      </c>
      <c r="D2" s="6" t="s">
        <v>72</v>
      </c>
      <c r="E2" s="13" t="s">
        <v>70</v>
      </c>
      <c r="F2" s="5" t="s">
        <v>71</v>
      </c>
      <c r="G2" s="6" t="s">
        <v>72</v>
      </c>
      <c r="H2" s="13" t="s">
        <v>70</v>
      </c>
      <c r="I2" s="5" t="s">
        <v>71</v>
      </c>
      <c r="J2" s="6" t="s">
        <v>72</v>
      </c>
    </row>
    <row r="3" ht="17" spans="1:10">
      <c r="A3" s="7" t="s">
        <v>73</v>
      </c>
      <c r="B3" s="4">
        <v>31.98</v>
      </c>
      <c r="C3" s="4">
        <v>34.44</v>
      </c>
      <c r="D3" s="6">
        <v>36.9</v>
      </c>
      <c r="E3" s="13">
        <f>B3*1.25</f>
        <v>39.975</v>
      </c>
      <c r="F3" s="13">
        <f t="shared" ref="F3:G3" si="0">C3*1.25</f>
        <v>43.05</v>
      </c>
      <c r="G3" s="13">
        <f t="shared" si="0"/>
        <v>46.125</v>
      </c>
      <c r="H3" s="13">
        <v>79.95</v>
      </c>
      <c r="I3" s="4">
        <v>86.1</v>
      </c>
      <c r="J3" s="6">
        <v>92.25</v>
      </c>
    </row>
    <row r="4" spans="1:10">
      <c r="A4" s="8" t="s">
        <v>74</v>
      </c>
      <c r="B4" s="4" t="s">
        <v>75</v>
      </c>
      <c r="C4" s="4" t="s">
        <v>76</v>
      </c>
      <c r="D4" s="6" t="s">
        <v>77</v>
      </c>
      <c r="E4" s="13" t="s">
        <v>78</v>
      </c>
      <c r="F4" s="4" t="s">
        <v>79</v>
      </c>
      <c r="G4" s="6" t="s">
        <v>80</v>
      </c>
      <c r="H4" s="13"/>
      <c r="I4" s="4"/>
      <c r="J4" s="6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3:3">
      <c r="C12" s="9"/>
    </row>
  </sheetData>
  <mergeCells count="3">
    <mergeCell ref="B1:D1"/>
    <mergeCell ref="E1:G1"/>
    <mergeCell ref="H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ADL-出勤记录-20251103-202511009</vt:lpstr>
      <vt:lpstr>人效</vt:lpstr>
      <vt:lpstr>计费规则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喆大仙</dc:creator>
  <cp:lastModifiedBy>WPS_1554116391</cp:lastModifiedBy>
  <dcterms:created xsi:type="dcterms:W3CDTF">2025-06-24T23:26:00Z</dcterms:created>
  <dcterms:modified xsi:type="dcterms:W3CDTF">2025-11-10T15:46:29Z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407F8E05F23851B7E3CB0B69FA9DDC10_43</vt:lpwstr>
  </property>
  <property fmtid="{D5CDD505-2E9C-101B-9397-08002B2CF9AE}" pid="3" name="KSOProductBuildVer">
    <vt:lpwstr>2052-7.4.1.8983</vt:lpwstr>
  </property>
</Properties>
</file>